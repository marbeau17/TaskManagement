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/>
  <mc:AlternateContent xmlns:mc="http://schemas.openxmlformats.org/markup-compatibility/2006">
    <mc:Choice Requires="x15">
      <x15ac:absPath xmlns:x15ac="http://schemas.microsoft.com/office/spreadsheetml/2010/11/ac" url="https://meetsconsulting.sharepoint.com/sites/Meetsconsultingall/Shared Documents/01_一般/18. Pipeline/"/>
    </mc:Choice>
  </mc:AlternateContent>
  <xr:revisionPtr revIDLastSave="0" documentId="8_{228C8A43-59A1-43CA-B0BB-D177B18D34B4}" xr6:coauthVersionLast="47" xr6:coauthVersionMax="47" xr10:uidLastSave="{00000000-0000-0000-0000-000000000000}"/>
  <bookViews>
    <workbookView minimized="1" xWindow="615" yWindow="930" windowWidth="14400" windowHeight="16455" firstSheet="1" activeTab="1" xr2:uid="{7B468AB9-0711-4E72-A954-7299B0452423}"/>
  </bookViews>
  <sheets>
    <sheet name="PIVOT" sheetId="4" r:id="rId1"/>
    <sheet name="pipeline management" sheetId="1" r:id="rId2"/>
  </sheets>
  <definedNames>
    <definedName name="_xlnm._FilterDatabase" localSheetId="1" hidden="1">'pipeline management'!$B$3:$AB$100</definedName>
  </definedNames>
  <calcPr calcId="191028" iterateDelta="1E-4"/>
  <pivotCaches>
    <pivotCache cacheId="33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18" i="1" l="1"/>
  <c r="BM54" i="1"/>
  <c r="BM55" i="1"/>
  <c r="BM56" i="1"/>
  <c r="BM57" i="1"/>
  <c r="AL55" i="1"/>
  <c r="AL56" i="1"/>
  <c r="AZ56" i="1" s="1"/>
  <c r="AB94" i="1"/>
  <c r="AD94" i="1"/>
  <c r="AR94" i="1" s="1"/>
  <c r="AE94" i="1"/>
  <c r="AF94" i="1"/>
  <c r="AG94" i="1"/>
  <c r="AU94" i="1" s="1"/>
  <c r="AH94" i="1"/>
  <c r="AI94" i="1"/>
  <c r="AJ94" i="1"/>
  <c r="AX94" i="1" s="1"/>
  <c r="AK94" i="1"/>
  <c r="AY94" i="1" s="1"/>
  <c r="AL94" i="1"/>
  <c r="AZ94" i="1" s="1"/>
  <c r="AM94" i="1"/>
  <c r="AN94" i="1"/>
  <c r="AO94" i="1"/>
  <c r="BC94" i="1" s="1"/>
  <c r="AS94" i="1"/>
  <c r="AT94" i="1"/>
  <c r="AV94" i="1"/>
  <c r="AW94" i="1"/>
  <c r="BA94" i="1"/>
  <c r="BB94" i="1"/>
  <c r="BE94" i="1"/>
  <c r="BF94" i="1"/>
  <c r="BG94" i="1"/>
  <c r="BH94" i="1"/>
  <c r="BI94" i="1"/>
  <c r="BJ94" i="1"/>
  <c r="BK94" i="1"/>
  <c r="BL94" i="1"/>
  <c r="BM94" i="1"/>
  <c r="BN94" i="1"/>
  <c r="BO94" i="1"/>
  <c r="BP94" i="1"/>
  <c r="AB95" i="1"/>
  <c r="AD95" i="1"/>
  <c r="AE95" i="1"/>
  <c r="AF95" i="1"/>
  <c r="AT95" i="1" s="1"/>
  <c r="AG95" i="1"/>
  <c r="AH95" i="1"/>
  <c r="AI95" i="1"/>
  <c r="AW95" i="1" s="1"/>
  <c r="AJ95" i="1"/>
  <c r="AX95" i="1" s="1"/>
  <c r="AK95" i="1"/>
  <c r="AY95" i="1" s="1"/>
  <c r="AL95" i="1"/>
  <c r="AM95" i="1"/>
  <c r="BA95" i="1" s="1"/>
  <c r="AN95" i="1"/>
  <c r="BB95" i="1" s="1"/>
  <c r="AO95" i="1"/>
  <c r="BC95" i="1" s="1"/>
  <c r="AR95" i="1"/>
  <c r="AS95" i="1"/>
  <c r="AU95" i="1"/>
  <c r="AV95" i="1"/>
  <c r="AZ95" i="1"/>
  <c r="BE95" i="1"/>
  <c r="BF95" i="1"/>
  <c r="BG95" i="1"/>
  <c r="BH95" i="1"/>
  <c r="BI95" i="1"/>
  <c r="BJ95" i="1"/>
  <c r="BK95" i="1"/>
  <c r="BL95" i="1"/>
  <c r="BM95" i="1"/>
  <c r="BN95" i="1"/>
  <c r="BO95" i="1"/>
  <c r="BP95" i="1"/>
  <c r="AB96" i="1"/>
  <c r="AD96" i="1"/>
  <c r="AR96" i="1" s="1"/>
  <c r="AE96" i="1"/>
  <c r="AF96" i="1"/>
  <c r="AG96" i="1"/>
  <c r="AU96" i="1" s="1"/>
  <c r="AH96" i="1"/>
  <c r="AV96" i="1" s="1"/>
  <c r="AI96" i="1"/>
  <c r="AW96" i="1" s="1"/>
  <c r="AJ96" i="1"/>
  <c r="AK96" i="1"/>
  <c r="AY96" i="1" s="1"/>
  <c r="AL96" i="1"/>
  <c r="AZ96" i="1" s="1"/>
  <c r="AM96" i="1"/>
  <c r="BA96" i="1" s="1"/>
  <c r="AN96" i="1"/>
  <c r="BB96" i="1" s="1"/>
  <c r="AO96" i="1"/>
  <c r="BC96" i="1" s="1"/>
  <c r="AS96" i="1"/>
  <c r="AT96" i="1"/>
  <c r="AX96" i="1"/>
  <c r="BE96" i="1"/>
  <c r="BF96" i="1"/>
  <c r="BG96" i="1"/>
  <c r="BH96" i="1"/>
  <c r="BI96" i="1"/>
  <c r="BJ96" i="1"/>
  <c r="BK96" i="1"/>
  <c r="BL96" i="1"/>
  <c r="BM96" i="1"/>
  <c r="BN96" i="1"/>
  <c r="BO96" i="1"/>
  <c r="BP96" i="1"/>
  <c r="AB97" i="1"/>
  <c r="AD97" i="1"/>
  <c r="AR97" i="1" s="1"/>
  <c r="AE97" i="1"/>
  <c r="AS97" i="1" s="1"/>
  <c r="AF97" i="1"/>
  <c r="AT97" i="1" s="1"/>
  <c r="AG97" i="1"/>
  <c r="AU97" i="1" s="1"/>
  <c r="AH97" i="1"/>
  <c r="AV97" i="1" s="1"/>
  <c r="AI97" i="1"/>
  <c r="AW97" i="1" s="1"/>
  <c r="AJ97" i="1"/>
  <c r="AX97" i="1" s="1"/>
  <c r="AK97" i="1"/>
  <c r="AY97" i="1" s="1"/>
  <c r="AL97" i="1"/>
  <c r="AZ97" i="1" s="1"/>
  <c r="AM97" i="1"/>
  <c r="BA97" i="1" s="1"/>
  <c r="AN97" i="1"/>
  <c r="AO97" i="1"/>
  <c r="BB97" i="1"/>
  <c r="BC97" i="1"/>
  <c r="BE97" i="1"/>
  <c r="BF97" i="1"/>
  <c r="BG97" i="1"/>
  <c r="BH97" i="1"/>
  <c r="BI97" i="1"/>
  <c r="BJ97" i="1"/>
  <c r="BK97" i="1"/>
  <c r="BL97" i="1"/>
  <c r="BM97" i="1"/>
  <c r="BN97" i="1"/>
  <c r="BO97" i="1"/>
  <c r="BP97" i="1"/>
  <c r="AB98" i="1"/>
  <c r="AD98" i="1"/>
  <c r="AE98" i="1"/>
  <c r="AS98" i="1" s="1"/>
  <c r="AF98" i="1"/>
  <c r="AT98" i="1" s="1"/>
  <c r="AG98" i="1"/>
  <c r="AU98" i="1" s="1"/>
  <c r="AH98" i="1"/>
  <c r="AV98" i="1" s="1"/>
  <c r="AI98" i="1"/>
  <c r="AW98" i="1" s="1"/>
  <c r="AJ98" i="1"/>
  <c r="AX98" i="1" s="1"/>
  <c r="AK98" i="1"/>
  <c r="AY98" i="1" s="1"/>
  <c r="AL98" i="1"/>
  <c r="AM98" i="1"/>
  <c r="BA98" i="1" s="1"/>
  <c r="AN98" i="1"/>
  <c r="BB98" i="1" s="1"/>
  <c r="AO98" i="1"/>
  <c r="BC98" i="1" s="1"/>
  <c r="AZ98" i="1"/>
  <c r="BE98" i="1"/>
  <c r="BF98" i="1"/>
  <c r="BG98" i="1"/>
  <c r="BH98" i="1"/>
  <c r="BI98" i="1"/>
  <c r="BJ98" i="1"/>
  <c r="BK98" i="1"/>
  <c r="BL98" i="1"/>
  <c r="BM98" i="1"/>
  <c r="BN98" i="1"/>
  <c r="BO98" i="1"/>
  <c r="BP98" i="1"/>
  <c r="AB99" i="1"/>
  <c r="AD99" i="1"/>
  <c r="AE99" i="1"/>
  <c r="AS99" i="1" s="1"/>
  <c r="AF99" i="1"/>
  <c r="AT99" i="1" s="1"/>
  <c r="AG99" i="1"/>
  <c r="AU99" i="1" s="1"/>
  <c r="AH99" i="1"/>
  <c r="AV99" i="1" s="1"/>
  <c r="AI99" i="1"/>
  <c r="AW99" i="1" s="1"/>
  <c r="AJ99" i="1"/>
  <c r="AX99" i="1" s="1"/>
  <c r="AK99" i="1"/>
  <c r="AY99" i="1" s="1"/>
  <c r="AL99" i="1"/>
  <c r="AZ99" i="1" s="1"/>
  <c r="AM99" i="1"/>
  <c r="BA99" i="1" s="1"/>
  <c r="AN99" i="1"/>
  <c r="AO99" i="1"/>
  <c r="BC99" i="1" s="1"/>
  <c r="BB99" i="1"/>
  <c r="BE99" i="1"/>
  <c r="BF99" i="1"/>
  <c r="BG99" i="1"/>
  <c r="BH99" i="1"/>
  <c r="BI99" i="1"/>
  <c r="BJ99" i="1"/>
  <c r="BK99" i="1"/>
  <c r="BL99" i="1"/>
  <c r="BM99" i="1"/>
  <c r="BN99" i="1"/>
  <c r="BO99" i="1"/>
  <c r="BP99" i="1"/>
  <c r="AB100" i="1"/>
  <c r="AD100" i="1"/>
  <c r="AE100" i="1"/>
  <c r="AS100" i="1" s="1"/>
  <c r="AF100" i="1"/>
  <c r="AT100" i="1" s="1"/>
  <c r="AG100" i="1"/>
  <c r="AU100" i="1" s="1"/>
  <c r="AH100" i="1"/>
  <c r="AV100" i="1" s="1"/>
  <c r="AI100" i="1"/>
  <c r="AW100" i="1" s="1"/>
  <c r="AJ100" i="1"/>
  <c r="AX100" i="1" s="1"/>
  <c r="AK100" i="1"/>
  <c r="AL100" i="1"/>
  <c r="AZ100" i="1" s="1"/>
  <c r="AM100" i="1"/>
  <c r="BA100" i="1" s="1"/>
  <c r="AN100" i="1"/>
  <c r="BB100" i="1" s="1"/>
  <c r="AO100" i="1"/>
  <c r="BC100" i="1" s="1"/>
  <c r="AY100" i="1"/>
  <c r="BE100" i="1"/>
  <c r="BF100" i="1"/>
  <c r="BG100" i="1"/>
  <c r="BH100" i="1"/>
  <c r="BI100" i="1"/>
  <c r="BJ100" i="1"/>
  <c r="BK100" i="1"/>
  <c r="BL100" i="1"/>
  <c r="BM100" i="1"/>
  <c r="BN100" i="1"/>
  <c r="BO100" i="1"/>
  <c r="BP100" i="1"/>
  <c r="AB88" i="1"/>
  <c r="AD88" i="1"/>
  <c r="AE88" i="1"/>
  <c r="AF88" i="1"/>
  <c r="AT88" i="1" s="1"/>
  <c r="AG88" i="1"/>
  <c r="AU88" i="1" s="1"/>
  <c r="AH88" i="1"/>
  <c r="AV88" i="1" s="1"/>
  <c r="AI88" i="1"/>
  <c r="AJ88" i="1"/>
  <c r="AX88" i="1" s="1"/>
  <c r="AK88" i="1"/>
  <c r="AY88" i="1" s="1"/>
  <c r="AL88" i="1"/>
  <c r="AZ88" i="1" s="1"/>
  <c r="AM88" i="1"/>
  <c r="BA88" i="1" s="1"/>
  <c r="AN88" i="1"/>
  <c r="BB88" i="1" s="1"/>
  <c r="AO88" i="1"/>
  <c r="BC88" i="1" s="1"/>
  <c r="AS88" i="1"/>
  <c r="AW88" i="1"/>
  <c r="BE88" i="1"/>
  <c r="BF88" i="1"/>
  <c r="BG88" i="1"/>
  <c r="BH88" i="1"/>
  <c r="BI88" i="1"/>
  <c r="BJ88" i="1"/>
  <c r="BK88" i="1"/>
  <c r="BL88" i="1"/>
  <c r="BM88" i="1"/>
  <c r="BN88" i="1"/>
  <c r="BO88" i="1"/>
  <c r="BP88" i="1"/>
  <c r="AB89" i="1"/>
  <c r="AD89" i="1"/>
  <c r="AE89" i="1"/>
  <c r="AS89" i="1" s="1"/>
  <c r="AF89" i="1"/>
  <c r="AG89" i="1"/>
  <c r="AH89" i="1"/>
  <c r="AV89" i="1" s="1"/>
  <c r="AI89" i="1"/>
  <c r="AJ89" i="1"/>
  <c r="AX89" i="1" s="1"/>
  <c r="AK89" i="1"/>
  <c r="AY89" i="1" s="1"/>
  <c r="AL89" i="1"/>
  <c r="AZ89" i="1" s="1"/>
  <c r="AM89" i="1"/>
  <c r="BA89" i="1" s="1"/>
  <c r="AN89" i="1"/>
  <c r="BB89" i="1" s="1"/>
  <c r="AO89" i="1"/>
  <c r="BC89" i="1" s="1"/>
  <c r="AT89" i="1"/>
  <c r="AU89" i="1"/>
  <c r="AW89" i="1"/>
  <c r="BE89" i="1"/>
  <c r="BF89" i="1"/>
  <c r="BG89" i="1"/>
  <c r="BH89" i="1"/>
  <c r="BI89" i="1"/>
  <c r="BJ89" i="1"/>
  <c r="BK89" i="1"/>
  <c r="BL89" i="1"/>
  <c r="BM89" i="1"/>
  <c r="BN89" i="1"/>
  <c r="BO89" i="1"/>
  <c r="BP89" i="1"/>
  <c r="AB90" i="1"/>
  <c r="AD90" i="1"/>
  <c r="AE90" i="1"/>
  <c r="AF90" i="1"/>
  <c r="AG90" i="1"/>
  <c r="AH90" i="1"/>
  <c r="AV90" i="1" s="1"/>
  <c r="AI90" i="1"/>
  <c r="AW90" i="1" s="1"/>
  <c r="AJ90" i="1"/>
  <c r="AX90" i="1" s="1"/>
  <c r="AK90" i="1"/>
  <c r="AL90" i="1"/>
  <c r="AZ90" i="1" s="1"/>
  <c r="AM90" i="1"/>
  <c r="BA90" i="1" s="1"/>
  <c r="AN90" i="1"/>
  <c r="BB90" i="1" s="1"/>
  <c r="AO90" i="1"/>
  <c r="BC90" i="1" s="1"/>
  <c r="AS90" i="1"/>
  <c r="AT90" i="1"/>
  <c r="AU90" i="1"/>
  <c r="AY90" i="1"/>
  <c r="BE90" i="1"/>
  <c r="BF90" i="1"/>
  <c r="BG90" i="1"/>
  <c r="BH90" i="1"/>
  <c r="BI90" i="1"/>
  <c r="BJ90" i="1"/>
  <c r="BK90" i="1"/>
  <c r="BL90" i="1"/>
  <c r="BM90" i="1"/>
  <c r="BN90" i="1"/>
  <c r="BO90" i="1"/>
  <c r="BP90" i="1"/>
  <c r="AB91" i="1"/>
  <c r="AD91" i="1"/>
  <c r="AE91" i="1"/>
  <c r="AS91" i="1" s="1"/>
  <c r="AF91" i="1"/>
  <c r="AG91" i="1"/>
  <c r="AH91" i="1"/>
  <c r="AV91" i="1" s="1"/>
  <c r="AI91" i="1"/>
  <c r="AJ91" i="1"/>
  <c r="AX91" i="1" s="1"/>
  <c r="AK91" i="1"/>
  <c r="AL91" i="1"/>
  <c r="AZ91" i="1" s="1"/>
  <c r="AM91" i="1"/>
  <c r="BA91" i="1" s="1"/>
  <c r="AN91" i="1"/>
  <c r="BB91" i="1" s="1"/>
  <c r="AO91" i="1"/>
  <c r="BC91" i="1" s="1"/>
  <c r="AT91" i="1"/>
  <c r="AU91" i="1"/>
  <c r="AW91" i="1"/>
  <c r="AY91" i="1"/>
  <c r="BE91" i="1"/>
  <c r="BF91" i="1"/>
  <c r="BG91" i="1"/>
  <c r="BH91" i="1"/>
  <c r="BI91" i="1"/>
  <c r="BJ91" i="1"/>
  <c r="BK91" i="1"/>
  <c r="BL91" i="1"/>
  <c r="BM91" i="1"/>
  <c r="BN91" i="1"/>
  <c r="BO91" i="1"/>
  <c r="BP91" i="1"/>
  <c r="AB92" i="1"/>
  <c r="AD92" i="1"/>
  <c r="AE92" i="1"/>
  <c r="AS92" i="1" s="1"/>
  <c r="AF92" i="1"/>
  <c r="AT92" i="1" s="1"/>
  <c r="AG92" i="1"/>
  <c r="AU92" i="1" s="1"/>
  <c r="AH92" i="1"/>
  <c r="AV92" i="1" s="1"/>
  <c r="AI92" i="1"/>
  <c r="AW92" i="1" s="1"/>
  <c r="AJ92" i="1"/>
  <c r="AK92" i="1"/>
  <c r="AY92" i="1" s="1"/>
  <c r="AL92" i="1"/>
  <c r="AZ92" i="1" s="1"/>
  <c r="AM92" i="1"/>
  <c r="BA92" i="1" s="1"/>
  <c r="AN92" i="1"/>
  <c r="BB92" i="1" s="1"/>
  <c r="AO92" i="1"/>
  <c r="BC92" i="1" s="1"/>
  <c r="AX92" i="1"/>
  <c r="BE92" i="1"/>
  <c r="BF92" i="1"/>
  <c r="BG92" i="1"/>
  <c r="BH92" i="1"/>
  <c r="BI92" i="1"/>
  <c r="BJ92" i="1"/>
  <c r="BK92" i="1"/>
  <c r="BL92" i="1"/>
  <c r="BM92" i="1"/>
  <c r="BN92" i="1"/>
  <c r="BO92" i="1"/>
  <c r="BP92" i="1"/>
  <c r="AB93" i="1"/>
  <c r="AD93" i="1"/>
  <c r="AE93" i="1"/>
  <c r="AS93" i="1" s="1"/>
  <c r="AF93" i="1"/>
  <c r="AT93" i="1" s="1"/>
  <c r="AG93" i="1"/>
  <c r="AU93" i="1" s="1"/>
  <c r="AH93" i="1"/>
  <c r="AV93" i="1" s="1"/>
  <c r="AI93" i="1"/>
  <c r="AW93" i="1" s="1"/>
  <c r="AJ93" i="1"/>
  <c r="AK93" i="1"/>
  <c r="AY93" i="1" s="1"/>
  <c r="AL93" i="1"/>
  <c r="AZ93" i="1" s="1"/>
  <c r="AM93" i="1"/>
  <c r="BA93" i="1" s="1"/>
  <c r="AN93" i="1"/>
  <c r="BB93" i="1" s="1"/>
  <c r="AO93" i="1"/>
  <c r="BC93" i="1" s="1"/>
  <c r="AX93" i="1"/>
  <c r="BE93" i="1"/>
  <c r="BF93" i="1"/>
  <c r="BG93" i="1"/>
  <c r="BH93" i="1"/>
  <c r="BI93" i="1"/>
  <c r="BJ93" i="1"/>
  <c r="BK93" i="1"/>
  <c r="BL93" i="1"/>
  <c r="BM93" i="1"/>
  <c r="BN93" i="1"/>
  <c r="BO93" i="1"/>
  <c r="BP93" i="1"/>
  <c r="AB77" i="1"/>
  <c r="AD77" i="1"/>
  <c r="AE77" i="1"/>
  <c r="AF77" i="1"/>
  <c r="AT77" i="1" s="1"/>
  <c r="AG77" i="1"/>
  <c r="AU77" i="1" s="1"/>
  <c r="AH77" i="1"/>
  <c r="AV77" i="1" s="1"/>
  <c r="AI77" i="1"/>
  <c r="AW77" i="1" s="1"/>
  <c r="AJ77" i="1"/>
  <c r="AX77" i="1" s="1"/>
  <c r="AK77" i="1"/>
  <c r="AY77" i="1" s="1"/>
  <c r="AL77" i="1"/>
  <c r="AZ77" i="1" s="1"/>
  <c r="AM77" i="1"/>
  <c r="BA77" i="1" s="1"/>
  <c r="AN77" i="1"/>
  <c r="BB77" i="1" s="1"/>
  <c r="AO77" i="1"/>
  <c r="BC77" i="1" s="1"/>
  <c r="AS77" i="1"/>
  <c r="BE77" i="1"/>
  <c r="BF77" i="1"/>
  <c r="BG77" i="1"/>
  <c r="BH77" i="1"/>
  <c r="BI77" i="1"/>
  <c r="BJ77" i="1"/>
  <c r="BK77" i="1"/>
  <c r="BL77" i="1"/>
  <c r="BM77" i="1"/>
  <c r="BN77" i="1"/>
  <c r="BO77" i="1"/>
  <c r="BP77" i="1"/>
  <c r="AB78" i="1"/>
  <c r="AD78" i="1"/>
  <c r="AR78" i="1" s="1"/>
  <c r="AE78" i="1"/>
  <c r="AS78" i="1" s="1"/>
  <c r="AF78" i="1"/>
  <c r="AT78" i="1" s="1"/>
  <c r="AG78" i="1"/>
  <c r="AU78" i="1" s="1"/>
  <c r="AH78" i="1"/>
  <c r="AV78" i="1" s="1"/>
  <c r="AI78" i="1"/>
  <c r="AJ78" i="1"/>
  <c r="AX78" i="1" s="1"/>
  <c r="AK78" i="1"/>
  <c r="AY78" i="1" s="1"/>
  <c r="AL78" i="1"/>
  <c r="AZ78" i="1" s="1"/>
  <c r="AM78" i="1"/>
  <c r="BA78" i="1" s="1"/>
  <c r="AN78" i="1"/>
  <c r="BB78" i="1" s="1"/>
  <c r="AO78" i="1"/>
  <c r="BC78" i="1" s="1"/>
  <c r="AW78" i="1"/>
  <c r="BE78" i="1"/>
  <c r="BF78" i="1"/>
  <c r="BG78" i="1"/>
  <c r="BH78" i="1"/>
  <c r="BI78" i="1"/>
  <c r="BJ78" i="1"/>
  <c r="BK78" i="1"/>
  <c r="BL78" i="1"/>
  <c r="BM78" i="1"/>
  <c r="BN78" i="1"/>
  <c r="BO78" i="1"/>
  <c r="BP78" i="1"/>
  <c r="AB79" i="1"/>
  <c r="AD79" i="1"/>
  <c r="AE79" i="1"/>
  <c r="AS79" i="1" s="1"/>
  <c r="AF79" i="1"/>
  <c r="AT79" i="1" s="1"/>
  <c r="AG79" i="1"/>
  <c r="AU79" i="1" s="1"/>
  <c r="AH79" i="1"/>
  <c r="AV79" i="1" s="1"/>
  <c r="AI79" i="1"/>
  <c r="AW79" i="1" s="1"/>
  <c r="AJ79" i="1"/>
  <c r="AX79" i="1" s="1"/>
  <c r="AK79" i="1"/>
  <c r="AY79" i="1" s="1"/>
  <c r="AL79" i="1"/>
  <c r="AZ79" i="1" s="1"/>
  <c r="AM79" i="1"/>
  <c r="BA79" i="1" s="1"/>
  <c r="AN79" i="1"/>
  <c r="BB79" i="1" s="1"/>
  <c r="AO79" i="1"/>
  <c r="BC79" i="1" s="1"/>
  <c r="BE79" i="1"/>
  <c r="BF79" i="1"/>
  <c r="BG79" i="1"/>
  <c r="BH79" i="1"/>
  <c r="BI79" i="1"/>
  <c r="BJ79" i="1"/>
  <c r="BK79" i="1"/>
  <c r="BL79" i="1"/>
  <c r="BM79" i="1"/>
  <c r="BN79" i="1"/>
  <c r="BO79" i="1"/>
  <c r="BP79" i="1"/>
  <c r="AB80" i="1"/>
  <c r="AD80" i="1"/>
  <c r="AE80" i="1"/>
  <c r="AS80" i="1" s="1"/>
  <c r="AF80" i="1"/>
  <c r="AT80" i="1" s="1"/>
  <c r="AG80" i="1"/>
  <c r="AU80" i="1" s="1"/>
  <c r="AH80" i="1"/>
  <c r="AV80" i="1" s="1"/>
  <c r="AI80" i="1"/>
  <c r="AW80" i="1" s="1"/>
  <c r="AJ80" i="1"/>
  <c r="AX80" i="1" s="1"/>
  <c r="AK80" i="1"/>
  <c r="AY80" i="1" s="1"/>
  <c r="AL80" i="1"/>
  <c r="AZ80" i="1" s="1"/>
  <c r="AM80" i="1"/>
  <c r="BA80" i="1" s="1"/>
  <c r="AN80" i="1"/>
  <c r="BB80" i="1" s="1"/>
  <c r="AO80" i="1"/>
  <c r="BC80" i="1" s="1"/>
  <c r="BE80" i="1"/>
  <c r="BF80" i="1"/>
  <c r="BG80" i="1"/>
  <c r="BH80" i="1"/>
  <c r="BI80" i="1"/>
  <c r="BJ80" i="1"/>
  <c r="BK80" i="1"/>
  <c r="BL80" i="1"/>
  <c r="BM80" i="1"/>
  <c r="BN80" i="1"/>
  <c r="BO80" i="1"/>
  <c r="BP80" i="1"/>
  <c r="AB81" i="1"/>
  <c r="AD81" i="1"/>
  <c r="AE81" i="1"/>
  <c r="AS81" i="1" s="1"/>
  <c r="AF81" i="1"/>
  <c r="AT81" i="1" s="1"/>
  <c r="AG81" i="1"/>
  <c r="AU81" i="1" s="1"/>
  <c r="AH81" i="1"/>
  <c r="AV81" i="1" s="1"/>
  <c r="AI81" i="1"/>
  <c r="AW81" i="1" s="1"/>
  <c r="AJ81" i="1"/>
  <c r="AX81" i="1" s="1"/>
  <c r="AK81" i="1"/>
  <c r="AY81" i="1" s="1"/>
  <c r="AL81" i="1"/>
  <c r="AZ81" i="1" s="1"/>
  <c r="AM81" i="1"/>
  <c r="AN81" i="1"/>
  <c r="BB81" i="1" s="1"/>
  <c r="AO81" i="1"/>
  <c r="BC81" i="1" s="1"/>
  <c r="BA81" i="1"/>
  <c r="BE81" i="1"/>
  <c r="BF81" i="1"/>
  <c r="BG81" i="1"/>
  <c r="BH81" i="1"/>
  <c r="BI81" i="1"/>
  <c r="BJ81" i="1"/>
  <c r="BK81" i="1"/>
  <c r="BL81" i="1"/>
  <c r="BM81" i="1"/>
  <c r="BN81" i="1"/>
  <c r="BO81" i="1"/>
  <c r="BP81" i="1"/>
  <c r="AB82" i="1"/>
  <c r="AD82" i="1"/>
  <c r="AE82" i="1"/>
  <c r="AS82" i="1" s="1"/>
  <c r="AF82" i="1"/>
  <c r="AT82" i="1" s="1"/>
  <c r="AG82" i="1"/>
  <c r="AU82" i="1" s="1"/>
  <c r="AH82" i="1"/>
  <c r="AV82" i="1" s="1"/>
  <c r="AI82" i="1"/>
  <c r="AW82" i="1" s="1"/>
  <c r="AJ82" i="1"/>
  <c r="AX82" i="1" s="1"/>
  <c r="AK82" i="1"/>
  <c r="AY82" i="1" s="1"/>
  <c r="AL82" i="1"/>
  <c r="AZ82" i="1" s="1"/>
  <c r="AM82" i="1"/>
  <c r="AN82" i="1"/>
  <c r="AO82" i="1"/>
  <c r="BC82" i="1" s="1"/>
  <c r="BA82" i="1"/>
  <c r="BB82" i="1"/>
  <c r="BE82" i="1"/>
  <c r="BF82" i="1"/>
  <c r="BG82" i="1"/>
  <c r="BH82" i="1"/>
  <c r="BI82" i="1"/>
  <c r="BJ82" i="1"/>
  <c r="BK82" i="1"/>
  <c r="BL82" i="1"/>
  <c r="BM82" i="1"/>
  <c r="BN82" i="1"/>
  <c r="BO82" i="1"/>
  <c r="BP82" i="1"/>
  <c r="AB83" i="1"/>
  <c r="AD83" i="1"/>
  <c r="AE83" i="1"/>
  <c r="AS83" i="1" s="1"/>
  <c r="AF83" i="1"/>
  <c r="AT83" i="1" s="1"/>
  <c r="AG83" i="1"/>
  <c r="AU83" i="1" s="1"/>
  <c r="AH83" i="1"/>
  <c r="AV83" i="1" s="1"/>
  <c r="AI83" i="1"/>
  <c r="AW83" i="1" s="1"/>
  <c r="AJ83" i="1"/>
  <c r="AX83" i="1" s="1"/>
  <c r="AK83" i="1"/>
  <c r="AY83" i="1" s="1"/>
  <c r="AL83" i="1"/>
  <c r="AZ83" i="1" s="1"/>
  <c r="AM83" i="1"/>
  <c r="BA83" i="1" s="1"/>
  <c r="AN83" i="1"/>
  <c r="AO83" i="1"/>
  <c r="BB83" i="1"/>
  <c r="BC83" i="1"/>
  <c r="BE83" i="1"/>
  <c r="BF83" i="1"/>
  <c r="BG83" i="1"/>
  <c r="BH83" i="1"/>
  <c r="BI83" i="1"/>
  <c r="BJ83" i="1"/>
  <c r="BK83" i="1"/>
  <c r="BL83" i="1"/>
  <c r="BM83" i="1"/>
  <c r="BN83" i="1"/>
  <c r="BO83" i="1"/>
  <c r="BP83" i="1"/>
  <c r="AB84" i="1"/>
  <c r="AD84" i="1"/>
  <c r="AE84" i="1"/>
  <c r="AS84" i="1" s="1"/>
  <c r="AF84" i="1"/>
  <c r="AT84" i="1" s="1"/>
  <c r="AG84" i="1"/>
  <c r="AU84" i="1" s="1"/>
  <c r="AH84" i="1"/>
  <c r="AV84" i="1" s="1"/>
  <c r="AI84" i="1"/>
  <c r="AW84" i="1" s="1"/>
  <c r="AJ84" i="1"/>
  <c r="AX84" i="1" s="1"/>
  <c r="AK84" i="1"/>
  <c r="AL84" i="1"/>
  <c r="AM84" i="1"/>
  <c r="BA84" i="1" s="1"/>
  <c r="AN84" i="1"/>
  <c r="BB84" i="1" s="1"/>
  <c r="AO84" i="1"/>
  <c r="BC84" i="1" s="1"/>
  <c r="AY84" i="1"/>
  <c r="AZ84" i="1"/>
  <c r="BE84" i="1"/>
  <c r="BF84" i="1"/>
  <c r="BG84" i="1"/>
  <c r="BH84" i="1"/>
  <c r="BI84" i="1"/>
  <c r="BJ84" i="1"/>
  <c r="BK84" i="1"/>
  <c r="BL84" i="1"/>
  <c r="BM84" i="1"/>
  <c r="BN84" i="1"/>
  <c r="BO84" i="1"/>
  <c r="BP84" i="1"/>
  <c r="AB85" i="1"/>
  <c r="AD85" i="1"/>
  <c r="AE85" i="1"/>
  <c r="AS85" i="1" s="1"/>
  <c r="AF85" i="1"/>
  <c r="AT85" i="1" s="1"/>
  <c r="AG85" i="1"/>
  <c r="AU85" i="1" s="1"/>
  <c r="AH85" i="1"/>
  <c r="AV85" i="1" s="1"/>
  <c r="AI85" i="1"/>
  <c r="AW85" i="1" s="1"/>
  <c r="AJ85" i="1"/>
  <c r="AX85" i="1" s="1"/>
  <c r="AK85" i="1"/>
  <c r="AY85" i="1" s="1"/>
  <c r="AL85" i="1"/>
  <c r="AM85" i="1"/>
  <c r="AN85" i="1"/>
  <c r="AO85" i="1"/>
  <c r="BC85" i="1" s="1"/>
  <c r="AZ85" i="1"/>
  <c r="BA85" i="1"/>
  <c r="BB85" i="1"/>
  <c r="BE85" i="1"/>
  <c r="BF85" i="1"/>
  <c r="BG85" i="1"/>
  <c r="BH85" i="1"/>
  <c r="BI85" i="1"/>
  <c r="BJ85" i="1"/>
  <c r="BK85" i="1"/>
  <c r="BL85" i="1"/>
  <c r="BM85" i="1"/>
  <c r="BN85" i="1"/>
  <c r="BO85" i="1"/>
  <c r="BP85" i="1"/>
  <c r="AB86" i="1"/>
  <c r="AD86" i="1"/>
  <c r="AE86" i="1"/>
  <c r="AS86" i="1" s="1"/>
  <c r="AF86" i="1"/>
  <c r="AT86" i="1" s="1"/>
  <c r="AG86" i="1"/>
  <c r="AU86" i="1" s="1"/>
  <c r="AH86" i="1"/>
  <c r="AV86" i="1" s="1"/>
  <c r="AI86" i="1"/>
  <c r="AW86" i="1" s="1"/>
  <c r="AJ86" i="1"/>
  <c r="AX86" i="1" s="1"/>
  <c r="AK86" i="1"/>
  <c r="AY86" i="1" s="1"/>
  <c r="AL86" i="1"/>
  <c r="AZ86" i="1" s="1"/>
  <c r="AM86" i="1"/>
  <c r="BA86" i="1" s="1"/>
  <c r="AN86" i="1"/>
  <c r="BB86" i="1" s="1"/>
  <c r="AO86" i="1"/>
  <c r="BC86" i="1"/>
  <c r="BE86" i="1"/>
  <c r="BF86" i="1"/>
  <c r="BG86" i="1"/>
  <c r="BH86" i="1"/>
  <c r="BI86" i="1"/>
  <c r="BJ86" i="1"/>
  <c r="BK86" i="1"/>
  <c r="BL86" i="1"/>
  <c r="BM86" i="1"/>
  <c r="BN86" i="1"/>
  <c r="BO86" i="1"/>
  <c r="BP86" i="1"/>
  <c r="AB87" i="1"/>
  <c r="AD87" i="1"/>
  <c r="AR87" i="1" s="1"/>
  <c r="AE87" i="1"/>
  <c r="AS87" i="1" s="1"/>
  <c r="AF87" i="1"/>
  <c r="AT87" i="1" s="1"/>
  <c r="AG87" i="1"/>
  <c r="AU87" i="1" s="1"/>
  <c r="AH87" i="1"/>
  <c r="AV87" i="1" s="1"/>
  <c r="AI87" i="1"/>
  <c r="AW87" i="1" s="1"/>
  <c r="AJ87" i="1"/>
  <c r="AX87" i="1" s="1"/>
  <c r="AK87" i="1"/>
  <c r="AY87" i="1" s="1"/>
  <c r="AL87" i="1"/>
  <c r="AZ87" i="1" s="1"/>
  <c r="AM87" i="1"/>
  <c r="AN87" i="1"/>
  <c r="BB87" i="1" s="1"/>
  <c r="AO87" i="1"/>
  <c r="BC87" i="1" s="1"/>
  <c r="BA87" i="1"/>
  <c r="BE87" i="1"/>
  <c r="BF87" i="1"/>
  <c r="BG87" i="1"/>
  <c r="BH87" i="1"/>
  <c r="BI87" i="1"/>
  <c r="BJ87" i="1"/>
  <c r="BK87" i="1"/>
  <c r="BL87" i="1"/>
  <c r="BM87" i="1"/>
  <c r="BN87" i="1"/>
  <c r="BO87" i="1"/>
  <c r="BP87" i="1"/>
  <c r="P2" i="1"/>
  <c r="AA2" i="1"/>
  <c r="Q2" i="1"/>
  <c r="R2" i="1"/>
  <c r="S2" i="1"/>
  <c r="U2" i="1"/>
  <c r="V2" i="1"/>
  <c r="W2" i="1"/>
  <c r="X2" i="1"/>
  <c r="Y2" i="1"/>
  <c r="Z2" i="1"/>
  <c r="T11" i="1"/>
  <c r="AD13" i="1"/>
  <c r="AE13" i="1"/>
  <c r="AS13" i="1" s="1"/>
  <c r="AF13" i="1"/>
  <c r="AT13" i="1" s="1"/>
  <c r="AG13" i="1"/>
  <c r="AU13" i="1" s="1"/>
  <c r="AH13" i="1"/>
  <c r="AV13" i="1" s="1"/>
  <c r="AI13" i="1"/>
  <c r="AW13" i="1" s="1"/>
  <c r="AJ13" i="1"/>
  <c r="AK13" i="1"/>
  <c r="AY13" i="1" s="1"/>
  <c r="AL13" i="1"/>
  <c r="AZ13" i="1" s="1"/>
  <c r="AM13" i="1"/>
  <c r="BA13" i="1" s="1"/>
  <c r="AN13" i="1"/>
  <c r="BB13" i="1" s="1"/>
  <c r="AO13" i="1"/>
  <c r="BC13" i="1" s="1"/>
  <c r="BP76" i="1"/>
  <c r="BO76" i="1"/>
  <c r="BN76" i="1"/>
  <c r="BM76" i="1"/>
  <c r="BL76" i="1"/>
  <c r="BK76" i="1"/>
  <c r="BJ76" i="1"/>
  <c r="BI76" i="1"/>
  <c r="BH76" i="1"/>
  <c r="BG76" i="1"/>
  <c r="BF76" i="1"/>
  <c r="BE76" i="1"/>
  <c r="BP75" i="1"/>
  <c r="BO75" i="1"/>
  <c r="BN75" i="1"/>
  <c r="BM75" i="1"/>
  <c r="BL75" i="1"/>
  <c r="BK75" i="1"/>
  <c r="BJ75" i="1"/>
  <c r="BI75" i="1"/>
  <c r="BH75" i="1"/>
  <c r="BG75" i="1"/>
  <c r="BF75" i="1"/>
  <c r="BE75" i="1"/>
  <c r="BP74" i="1"/>
  <c r="BO74" i="1"/>
  <c r="BN74" i="1"/>
  <c r="BM74" i="1"/>
  <c r="BL74" i="1"/>
  <c r="BK74" i="1"/>
  <c r="BJ74" i="1"/>
  <c r="BI74" i="1"/>
  <c r="BH74" i="1"/>
  <c r="BG74" i="1"/>
  <c r="BF74" i="1"/>
  <c r="BE74" i="1"/>
  <c r="BP73" i="1"/>
  <c r="BO73" i="1"/>
  <c r="BN73" i="1"/>
  <c r="BM73" i="1"/>
  <c r="BL73" i="1"/>
  <c r="BK73" i="1"/>
  <c r="BJ73" i="1"/>
  <c r="BI73" i="1"/>
  <c r="BH73" i="1"/>
  <c r="BG73" i="1"/>
  <c r="BF73" i="1"/>
  <c r="BE73" i="1"/>
  <c r="BP72" i="1"/>
  <c r="BO72" i="1"/>
  <c r="BN72" i="1"/>
  <c r="BM72" i="1"/>
  <c r="BL72" i="1"/>
  <c r="BK72" i="1"/>
  <c r="BJ72" i="1"/>
  <c r="BI72" i="1"/>
  <c r="BH72" i="1"/>
  <c r="BG72" i="1"/>
  <c r="BF72" i="1"/>
  <c r="BE72" i="1"/>
  <c r="BP71" i="1"/>
  <c r="BO71" i="1"/>
  <c r="BN71" i="1"/>
  <c r="BM71" i="1"/>
  <c r="BL71" i="1"/>
  <c r="BK71" i="1"/>
  <c r="BJ71" i="1"/>
  <c r="BI71" i="1"/>
  <c r="BH71" i="1"/>
  <c r="BG71" i="1"/>
  <c r="BF71" i="1"/>
  <c r="BE71" i="1"/>
  <c r="BP70" i="1"/>
  <c r="BO70" i="1"/>
  <c r="BN70" i="1"/>
  <c r="BM70" i="1"/>
  <c r="BL70" i="1"/>
  <c r="BK70" i="1"/>
  <c r="BJ70" i="1"/>
  <c r="BI70" i="1"/>
  <c r="BH70" i="1"/>
  <c r="BG70" i="1"/>
  <c r="BF70" i="1"/>
  <c r="BE70" i="1"/>
  <c r="BP69" i="1"/>
  <c r="BO69" i="1"/>
  <c r="BN69" i="1"/>
  <c r="BM69" i="1"/>
  <c r="BL69" i="1"/>
  <c r="BK69" i="1"/>
  <c r="BJ69" i="1"/>
  <c r="BI69" i="1"/>
  <c r="BH69" i="1"/>
  <c r="BG69" i="1"/>
  <c r="BF69" i="1"/>
  <c r="BE69" i="1"/>
  <c r="BP68" i="1"/>
  <c r="BO68" i="1"/>
  <c r="BN68" i="1"/>
  <c r="BM68" i="1"/>
  <c r="BL68" i="1"/>
  <c r="BK68" i="1"/>
  <c r="BJ68" i="1"/>
  <c r="BI68" i="1"/>
  <c r="BH68" i="1"/>
  <c r="BG68" i="1"/>
  <c r="BF68" i="1"/>
  <c r="BE68" i="1"/>
  <c r="BP67" i="1"/>
  <c r="BO67" i="1"/>
  <c r="BN67" i="1"/>
  <c r="BM67" i="1"/>
  <c r="BL67" i="1"/>
  <c r="BK67" i="1"/>
  <c r="BJ67" i="1"/>
  <c r="BI67" i="1"/>
  <c r="BH67" i="1"/>
  <c r="BG67" i="1"/>
  <c r="BF67" i="1"/>
  <c r="BE67" i="1"/>
  <c r="BP66" i="1"/>
  <c r="BO66" i="1"/>
  <c r="BN66" i="1"/>
  <c r="BM66" i="1"/>
  <c r="BL66" i="1"/>
  <c r="BK66" i="1"/>
  <c r="BJ66" i="1"/>
  <c r="BI66" i="1"/>
  <c r="BH66" i="1"/>
  <c r="BG66" i="1"/>
  <c r="BF66" i="1"/>
  <c r="BE66" i="1"/>
  <c r="BP65" i="1"/>
  <c r="BO65" i="1"/>
  <c r="BN65" i="1"/>
  <c r="BM65" i="1"/>
  <c r="BL65" i="1"/>
  <c r="BK65" i="1"/>
  <c r="BJ65" i="1"/>
  <c r="BI65" i="1"/>
  <c r="BH65" i="1"/>
  <c r="BG65" i="1"/>
  <c r="BF65" i="1"/>
  <c r="BE65" i="1"/>
  <c r="BP64" i="1"/>
  <c r="BO64" i="1"/>
  <c r="BN64" i="1"/>
  <c r="BM64" i="1"/>
  <c r="BL64" i="1"/>
  <c r="BK64" i="1"/>
  <c r="BJ64" i="1"/>
  <c r="BI64" i="1"/>
  <c r="BH64" i="1"/>
  <c r="BG64" i="1"/>
  <c r="BF64" i="1"/>
  <c r="BE64" i="1"/>
  <c r="BP63" i="1"/>
  <c r="BO63" i="1"/>
  <c r="BN63" i="1"/>
  <c r="BM63" i="1"/>
  <c r="BL63" i="1"/>
  <c r="BK63" i="1"/>
  <c r="BJ63" i="1"/>
  <c r="BI63" i="1"/>
  <c r="BH63" i="1"/>
  <c r="BG63" i="1"/>
  <c r="BF63" i="1"/>
  <c r="BE63" i="1"/>
  <c r="BP62" i="1"/>
  <c r="BO62" i="1"/>
  <c r="BN62" i="1"/>
  <c r="BM62" i="1"/>
  <c r="BL62" i="1"/>
  <c r="BK62" i="1"/>
  <c r="BJ62" i="1"/>
  <c r="BI62" i="1"/>
  <c r="BH62" i="1"/>
  <c r="BG62" i="1"/>
  <c r="BF62" i="1"/>
  <c r="BE62" i="1"/>
  <c r="BP61" i="1"/>
  <c r="BO61" i="1"/>
  <c r="BN61" i="1"/>
  <c r="BM61" i="1"/>
  <c r="BL61" i="1"/>
  <c r="BK61" i="1"/>
  <c r="BJ61" i="1"/>
  <c r="BI61" i="1"/>
  <c r="BH61" i="1"/>
  <c r="BG61" i="1"/>
  <c r="BF61" i="1"/>
  <c r="BE61" i="1"/>
  <c r="BP60" i="1"/>
  <c r="BO60" i="1"/>
  <c r="BN60" i="1"/>
  <c r="BM60" i="1"/>
  <c r="BL60" i="1"/>
  <c r="BK60" i="1"/>
  <c r="BJ60" i="1"/>
  <c r="BI60" i="1"/>
  <c r="BH60" i="1"/>
  <c r="BG60" i="1"/>
  <c r="BF60" i="1"/>
  <c r="BE60" i="1"/>
  <c r="BP59" i="1"/>
  <c r="BO59" i="1"/>
  <c r="BN59" i="1"/>
  <c r="BM59" i="1"/>
  <c r="BL59" i="1"/>
  <c r="BK59" i="1"/>
  <c r="BJ59" i="1"/>
  <c r="BI59" i="1"/>
  <c r="BH59" i="1"/>
  <c r="BG59" i="1"/>
  <c r="BF59" i="1"/>
  <c r="BE59" i="1"/>
  <c r="BP58" i="1"/>
  <c r="BO58" i="1"/>
  <c r="BN58" i="1"/>
  <c r="BM58" i="1"/>
  <c r="BL58" i="1"/>
  <c r="BK58" i="1"/>
  <c r="BJ58" i="1"/>
  <c r="BI58" i="1"/>
  <c r="BH58" i="1"/>
  <c r="BG58" i="1"/>
  <c r="BF58" i="1"/>
  <c r="BE58" i="1"/>
  <c r="BP57" i="1"/>
  <c r="BO57" i="1"/>
  <c r="BN57" i="1"/>
  <c r="BL57" i="1"/>
  <c r="BK57" i="1"/>
  <c r="BJ57" i="1"/>
  <c r="BI57" i="1"/>
  <c r="BH57" i="1"/>
  <c r="BG57" i="1"/>
  <c r="BF57" i="1"/>
  <c r="BE57" i="1"/>
  <c r="BP56" i="1"/>
  <c r="BO56" i="1"/>
  <c r="BN56" i="1"/>
  <c r="BL56" i="1"/>
  <c r="BK56" i="1"/>
  <c r="BJ56" i="1"/>
  <c r="BI56" i="1"/>
  <c r="BH56" i="1"/>
  <c r="BG56" i="1"/>
  <c r="BF56" i="1"/>
  <c r="BE56" i="1"/>
  <c r="BP55" i="1"/>
  <c r="BO55" i="1"/>
  <c r="BN55" i="1"/>
  <c r="BL55" i="1"/>
  <c r="BK55" i="1"/>
  <c r="BJ55" i="1"/>
  <c r="BI55" i="1"/>
  <c r="BH55" i="1"/>
  <c r="BG55" i="1"/>
  <c r="BF55" i="1"/>
  <c r="BE55" i="1"/>
  <c r="BP54" i="1"/>
  <c r="BO54" i="1"/>
  <c r="BN54" i="1"/>
  <c r="BL54" i="1"/>
  <c r="BK54" i="1"/>
  <c r="BJ54" i="1"/>
  <c r="BI54" i="1"/>
  <c r="BH54" i="1"/>
  <c r="BG54" i="1"/>
  <c r="BF54" i="1"/>
  <c r="BE54" i="1"/>
  <c r="BP53" i="1"/>
  <c r="BO53" i="1"/>
  <c r="BN53" i="1"/>
  <c r="BM53" i="1"/>
  <c r="BL53" i="1"/>
  <c r="BK53" i="1"/>
  <c r="BJ53" i="1"/>
  <c r="BI53" i="1"/>
  <c r="BH53" i="1"/>
  <c r="BG53" i="1"/>
  <c r="BF53" i="1"/>
  <c r="BE53" i="1"/>
  <c r="BP52" i="1"/>
  <c r="BO52" i="1"/>
  <c r="BN52" i="1"/>
  <c r="BM52" i="1"/>
  <c r="BL52" i="1"/>
  <c r="BK52" i="1"/>
  <c r="BJ52" i="1"/>
  <c r="BI52" i="1"/>
  <c r="BH52" i="1"/>
  <c r="BG52" i="1"/>
  <c r="BF52" i="1"/>
  <c r="BE52" i="1"/>
  <c r="BP51" i="1"/>
  <c r="BO51" i="1"/>
  <c r="BN51" i="1"/>
  <c r="BM51" i="1"/>
  <c r="BL51" i="1"/>
  <c r="BK51" i="1"/>
  <c r="BJ51" i="1"/>
  <c r="BI51" i="1"/>
  <c r="BH51" i="1"/>
  <c r="BG51" i="1"/>
  <c r="BF51" i="1"/>
  <c r="BE51" i="1"/>
  <c r="BP50" i="1"/>
  <c r="BO50" i="1"/>
  <c r="BN50" i="1"/>
  <c r="BM50" i="1"/>
  <c r="BL50" i="1"/>
  <c r="BK50" i="1"/>
  <c r="BJ50" i="1"/>
  <c r="BI50" i="1"/>
  <c r="BH50" i="1"/>
  <c r="BG50" i="1"/>
  <c r="BF50" i="1"/>
  <c r="BE50" i="1"/>
  <c r="BP49" i="1"/>
  <c r="BO49" i="1"/>
  <c r="BN49" i="1"/>
  <c r="BM49" i="1"/>
  <c r="BL49" i="1"/>
  <c r="BK49" i="1"/>
  <c r="BJ49" i="1"/>
  <c r="BI49" i="1"/>
  <c r="BH49" i="1"/>
  <c r="BG49" i="1"/>
  <c r="BF49" i="1"/>
  <c r="BE49" i="1"/>
  <c r="BP48" i="1"/>
  <c r="BO48" i="1"/>
  <c r="BN48" i="1"/>
  <c r="BM48" i="1"/>
  <c r="BL48" i="1"/>
  <c r="BK48" i="1"/>
  <c r="BJ48" i="1"/>
  <c r="BI48" i="1"/>
  <c r="BH48" i="1"/>
  <c r="BG48" i="1"/>
  <c r="BF48" i="1"/>
  <c r="BE48" i="1"/>
  <c r="BP47" i="1"/>
  <c r="BO47" i="1"/>
  <c r="BN47" i="1"/>
  <c r="BM47" i="1"/>
  <c r="BL47" i="1"/>
  <c r="BK47" i="1"/>
  <c r="BJ47" i="1"/>
  <c r="BI47" i="1"/>
  <c r="BH47" i="1"/>
  <c r="BG47" i="1"/>
  <c r="BF47" i="1"/>
  <c r="BE47" i="1"/>
  <c r="BP46" i="1"/>
  <c r="BO46" i="1"/>
  <c r="BN46" i="1"/>
  <c r="BM46" i="1"/>
  <c r="BL46" i="1"/>
  <c r="BK46" i="1"/>
  <c r="BJ46" i="1"/>
  <c r="BI46" i="1"/>
  <c r="BH46" i="1"/>
  <c r="BG46" i="1"/>
  <c r="BF46" i="1"/>
  <c r="BE46" i="1"/>
  <c r="BP45" i="1"/>
  <c r="BO45" i="1"/>
  <c r="BN45" i="1"/>
  <c r="BM45" i="1"/>
  <c r="BL45" i="1"/>
  <c r="BK45" i="1"/>
  <c r="BJ45" i="1"/>
  <c r="BI45" i="1"/>
  <c r="BH45" i="1"/>
  <c r="BG45" i="1"/>
  <c r="BF45" i="1"/>
  <c r="BE45" i="1"/>
  <c r="BP44" i="1"/>
  <c r="BO44" i="1"/>
  <c r="BN44" i="1"/>
  <c r="BM44" i="1"/>
  <c r="BL44" i="1"/>
  <c r="BK44" i="1"/>
  <c r="BJ44" i="1"/>
  <c r="BI44" i="1"/>
  <c r="BH44" i="1"/>
  <c r="BG44" i="1"/>
  <c r="BF44" i="1"/>
  <c r="BE44" i="1"/>
  <c r="BP43" i="1"/>
  <c r="BO43" i="1"/>
  <c r="BN43" i="1"/>
  <c r="BM43" i="1"/>
  <c r="BL43" i="1"/>
  <c r="BK43" i="1"/>
  <c r="BJ43" i="1"/>
  <c r="BI43" i="1"/>
  <c r="BH43" i="1"/>
  <c r="BG43" i="1"/>
  <c r="BF43" i="1"/>
  <c r="BE43" i="1"/>
  <c r="BP42" i="1"/>
  <c r="BO42" i="1"/>
  <c r="BN42" i="1"/>
  <c r="BM42" i="1"/>
  <c r="BL42" i="1"/>
  <c r="BK42" i="1"/>
  <c r="BJ42" i="1"/>
  <c r="BI42" i="1"/>
  <c r="BH42" i="1"/>
  <c r="BG42" i="1"/>
  <c r="BF42" i="1"/>
  <c r="BE42" i="1"/>
  <c r="BP41" i="1"/>
  <c r="BO41" i="1"/>
  <c r="BN41" i="1"/>
  <c r="BM41" i="1"/>
  <c r="BL41" i="1"/>
  <c r="BK41" i="1"/>
  <c r="BJ41" i="1"/>
  <c r="BI41" i="1"/>
  <c r="BH41" i="1"/>
  <c r="BG41" i="1"/>
  <c r="BF41" i="1"/>
  <c r="BE41" i="1"/>
  <c r="BP40" i="1"/>
  <c r="BO40" i="1"/>
  <c r="BN40" i="1"/>
  <c r="BM40" i="1"/>
  <c r="BL40" i="1"/>
  <c r="BK40" i="1"/>
  <c r="BJ40" i="1"/>
  <c r="BI40" i="1"/>
  <c r="BH40" i="1"/>
  <c r="BG40" i="1"/>
  <c r="BF40" i="1"/>
  <c r="BE40" i="1"/>
  <c r="BP39" i="1"/>
  <c r="BO39" i="1"/>
  <c r="BN39" i="1"/>
  <c r="BM39" i="1"/>
  <c r="BL39" i="1"/>
  <c r="BK39" i="1"/>
  <c r="BJ39" i="1"/>
  <c r="BI39" i="1"/>
  <c r="BH39" i="1"/>
  <c r="BG39" i="1"/>
  <c r="BF39" i="1"/>
  <c r="BE39" i="1"/>
  <c r="BP38" i="1"/>
  <c r="BO38" i="1"/>
  <c r="BN38" i="1"/>
  <c r="BM38" i="1"/>
  <c r="BL38" i="1"/>
  <c r="BK38" i="1"/>
  <c r="BJ38" i="1"/>
  <c r="BI38" i="1"/>
  <c r="BH38" i="1"/>
  <c r="BG38" i="1"/>
  <c r="BF38" i="1"/>
  <c r="BE38" i="1"/>
  <c r="BP37" i="1"/>
  <c r="BO37" i="1"/>
  <c r="BN37" i="1"/>
  <c r="BM37" i="1"/>
  <c r="BL37" i="1"/>
  <c r="BK37" i="1"/>
  <c r="BJ37" i="1"/>
  <c r="BI37" i="1"/>
  <c r="BH37" i="1"/>
  <c r="BG37" i="1"/>
  <c r="BF37" i="1"/>
  <c r="BE37" i="1"/>
  <c r="BP36" i="1"/>
  <c r="BO36" i="1"/>
  <c r="BN36" i="1"/>
  <c r="BM36" i="1"/>
  <c r="BL36" i="1"/>
  <c r="BK36" i="1"/>
  <c r="BJ36" i="1"/>
  <c r="BI36" i="1"/>
  <c r="BH36" i="1"/>
  <c r="BG36" i="1"/>
  <c r="BF36" i="1"/>
  <c r="BE36" i="1"/>
  <c r="BP35" i="1"/>
  <c r="BO35" i="1"/>
  <c r="BN35" i="1"/>
  <c r="BM35" i="1"/>
  <c r="BL35" i="1"/>
  <c r="BK35" i="1"/>
  <c r="BJ35" i="1"/>
  <c r="BI35" i="1"/>
  <c r="BH35" i="1"/>
  <c r="BG35" i="1"/>
  <c r="BF35" i="1"/>
  <c r="BE35" i="1"/>
  <c r="BP34" i="1"/>
  <c r="BO34" i="1"/>
  <c r="BN34" i="1"/>
  <c r="BM34" i="1"/>
  <c r="BL34" i="1"/>
  <c r="BK34" i="1"/>
  <c r="BJ34" i="1"/>
  <c r="BI34" i="1"/>
  <c r="BH34" i="1"/>
  <c r="BG34" i="1"/>
  <c r="BF34" i="1"/>
  <c r="BE34" i="1"/>
  <c r="BP33" i="1"/>
  <c r="BO33" i="1"/>
  <c r="BN33" i="1"/>
  <c r="BM33" i="1"/>
  <c r="BL33" i="1"/>
  <c r="BK33" i="1"/>
  <c r="BJ33" i="1"/>
  <c r="BI33" i="1"/>
  <c r="BH33" i="1"/>
  <c r="BG33" i="1"/>
  <c r="BF33" i="1"/>
  <c r="BE33" i="1"/>
  <c r="BP32" i="1"/>
  <c r="BO32" i="1"/>
  <c r="BN32" i="1"/>
  <c r="BM32" i="1"/>
  <c r="BL32" i="1"/>
  <c r="BK32" i="1"/>
  <c r="BJ32" i="1"/>
  <c r="BI32" i="1"/>
  <c r="BH32" i="1"/>
  <c r="BG32" i="1"/>
  <c r="BF32" i="1"/>
  <c r="BE32" i="1"/>
  <c r="BP31" i="1"/>
  <c r="BO31" i="1"/>
  <c r="BN31" i="1"/>
  <c r="BM31" i="1"/>
  <c r="BL31" i="1"/>
  <c r="BK31" i="1"/>
  <c r="BJ31" i="1"/>
  <c r="BI31" i="1"/>
  <c r="BH31" i="1"/>
  <c r="BG31" i="1"/>
  <c r="BF31" i="1"/>
  <c r="BE31" i="1"/>
  <c r="BP30" i="1"/>
  <c r="BO30" i="1"/>
  <c r="BN30" i="1"/>
  <c r="BM30" i="1"/>
  <c r="BL30" i="1"/>
  <c r="BK30" i="1"/>
  <c r="BJ30" i="1"/>
  <c r="BI30" i="1"/>
  <c r="BH30" i="1"/>
  <c r="BG30" i="1"/>
  <c r="BF30" i="1"/>
  <c r="BE30" i="1"/>
  <c r="BP29" i="1"/>
  <c r="BO29" i="1"/>
  <c r="BN29" i="1"/>
  <c r="BM29" i="1"/>
  <c r="BL29" i="1"/>
  <c r="BK29" i="1"/>
  <c r="BJ29" i="1"/>
  <c r="BI29" i="1"/>
  <c r="BH29" i="1"/>
  <c r="BG29" i="1"/>
  <c r="BF29" i="1"/>
  <c r="BE29" i="1"/>
  <c r="BP28" i="1"/>
  <c r="BO28" i="1"/>
  <c r="BN28" i="1"/>
  <c r="BM28" i="1"/>
  <c r="BL28" i="1"/>
  <c r="BK28" i="1"/>
  <c r="BJ28" i="1"/>
  <c r="BI28" i="1"/>
  <c r="BH28" i="1"/>
  <c r="BG28" i="1"/>
  <c r="BF28" i="1"/>
  <c r="BE28" i="1"/>
  <c r="BP27" i="1"/>
  <c r="BO27" i="1"/>
  <c r="BN27" i="1"/>
  <c r="BM27" i="1"/>
  <c r="BL27" i="1"/>
  <c r="BK27" i="1"/>
  <c r="BJ27" i="1"/>
  <c r="BI27" i="1"/>
  <c r="BH27" i="1"/>
  <c r="BG27" i="1"/>
  <c r="BF27" i="1"/>
  <c r="BE27" i="1"/>
  <c r="BP26" i="1"/>
  <c r="BO26" i="1"/>
  <c r="BN26" i="1"/>
  <c r="BM26" i="1"/>
  <c r="BL26" i="1"/>
  <c r="BK26" i="1"/>
  <c r="BJ26" i="1"/>
  <c r="BI26" i="1"/>
  <c r="BH26" i="1"/>
  <c r="BG26" i="1"/>
  <c r="BF26" i="1"/>
  <c r="BE26" i="1"/>
  <c r="BP25" i="1"/>
  <c r="BO25" i="1"/>
  <c r="BN25" i="1"/>
  <c r="BM25" i="1"/>
  <c r="BL25" i="1"/>
  <c r="BK25" i="1"/>
  <c r="BJ25" i="1"/>
  <c r="BI25" i="1"/>
  <c r="BH25" i="1"/>
  <c r="BG25" i="1"/>
  <c r="BF25" i="1"/>
  <c r="BE25" i="1"/>
  <c r="BP24" i="1"/>
  <c r="BO24" i="1"/>
  <c r="BN24" i="1"/>
  <c r="BM24" i="1"/>
  <c r="BL24" i="1"/>
  <c r="BK24" i="1"/>
  <c r="BJ24" i="1"/>
  <c r="BI24" i="1"/>
  <c r="BH24" i="1"/>
  <c r="BG24" i="1"/>
  <c r="BF24" i="1"/>
  <c r="BE24" i="1"/>
  <c r="BP23" i="1"/>
  <c r="BO23" i="1"/>
  <c r="BN23" i="1"/>
  <c r="BM23" i="1"/>
  <c r="BL23" i="1"/>
  <c r="BK23" i="1"/>
  <c r="BJ23" i="1"/>
  <c r="BI23" i="1"/>
  <c r="BH23" i="1"/>
  <c r="BG23" i="1"/>
  <c r="BF23" i="1"/>
  <c r="BE23" i="1"/>
  <c r="BP22" i="1"/>
  <c r="BO22" i="1"/>
  <c r="BN22" i="1"/>
  <c r="BM22" i="1"/>
  <c r="BL22" i="1"/>
  <c r="BK22" i="1"/>
  <c r="BJ22" i="1"/>
  <c r="BI22" i="1"/>
  <c r="BH22" i="1"/>
  <c r="BG22" i="1"/>
  <c r="BF22" i="1"/>
  <c r="BE22" i="1"/>
  <c r="BP21" i="1"/>
  <c r="BO21" i="1"/>
  <c r="BN21" i="1"/>
  <c r="BM21" i="1"/>
  <c r="BL21" i="1"/>
  <c r="BK21" i="1"/>
  <c r="BJ21" i="1"/>
  <c r="BI21" i="1"/>
  <c r="BH21" i="1"/>
  <c r="BG21" i="1"/>
  <c r="BF21" i="1"/>
  <c r="BE21" i="1"/>
  <c r="BP20" i="1"/>
  <c r="BO20" i="1"/>
  <c r="BN20" i="1"/>
  <c r="BM20" i="1"/>
  <c r="BL20" i="1"/>
  <c r="BK20" i="1"/>
  <c r="BJ20" i="1"/>
  <c r="BI20" i="1"/>
  <c r="BH20" i="1"/>
  <c r="BG20" i="1"/>
  <c r="BF20" i="1"/>
  <c r="BE20" i="1"/>
  <c r="BP19" i="1"/>
  <c r="BO19" i="1"/>
  <c r="BN19" i="1"/>
  <c r="BM19" i="1"/>
  <c r="BL19" i="1"/>
  <c r="BK19" i="1"/>
  <c r="BJ19" i="1"/>
  <c r="BI19" i="1"/>
  <c r="BH19" i="1"/>
  <c r="BG19" i="1"/>
  <c r="BF19" i="1"/>
  <c r="BE19" i="1"/>
  <c r="BP18" i="1"/>
  <c r="BO18" i="1"/>
  <c r="BN18" i="1"/>
  <c r="BM18" i="1"/>
  <c r="BL18" i="1"/>
  <c r="BK18" i="1"/>
  <c r="BJ18" i="1"/>
  <c r="BI18" i="1"/>
  <c r="BH18" i="1"/>
  <c r="BG18" i="1"/>
  <c r="BF18" i="1"/>
  <c r="BE18" i="1"/>
  <c r="BP17" i="1"/>
  <c r="BO17" i="1"/>
  <c r="BN17" i="1"/>
  <c r="BM17" i="1"/>
  <c r="BL17" i="1"/>
  <c r="BK17" i="1"/>
  <c r="BJ17" i="1"/>
  <c r="BI17" i="1"/>
  <c r="BH17" i="1"/>
  <c r="BG17" i="1"/>
  <c r="BF17" i="1"/>
  <c r="BE17" i="1"/>
  <c r="BP16" i="1"/>
  <c r="BO16" i="1"/>
  <c r="BN16" i="1"/>
  <c r="BM16" i="1"/>
  <c r="BL16" i="1"/>
  <c r="BK16" i="1"/>
  <c r="BJ16" i="1"/>
  <c r="BI16" i="1"/>
  <c r="BH16" i="1"/>
  <c r="BG16" i="1"/>
  <c r="BF16" i="1"/>
  <c r="BE16" i="1"/>
  <c r="BP15" i="1"/>
  <c r="BO15" i="1"/>
  <c r="BN15" i="1"/>
  <c r="BM15" i="1"/>
  <c r="BL15" i="1"/>
  <c r="BK15" i="1"/>
  <c r="BJ15" i="1"/>
  <c r="BI15" i="1"/>
  <c r="BH15" i="1"/>
  <c r="BG15" i="1"/>
  <c r="BF15" i="1"/>
  <c r="BE15" i="1"/>
  <c r="BP14" i="1"/>
  <c r="BO14" i="1"/>
  <c r="BN14" i="1"/>
  <c r="BM14" i="1"/>
  <c r="BL14" i="1"/>
  <c r="BK14" i="1"/>
  <c r="BJ14" i="1"/>
  <c r="BI14" i="1"/>
  <c r="BH14" i="1"/>
  <c r="BG14" i="1"/>
  <c r="BF14" i="1"/>
  <c r="BE14" i="1"/>
  <c r="BP13" i="1"/>
  <c r="BO13" i="1"/>
  <c r="BN13" i="1"/>
  <c r="BM13" i="1"/>
  <c r="BL13" i="1"/>
  <c r="BK13" i="1"/>
  <c r="BJ13" i="1"/>
  <c r="BI13" i="1"/>
  <c r="BH13" i="1"/>
  <c r="BG13" i="1"/>
  <c r="BF13" i="1"/>
  <c r="BE13" i="1"/>
  <c r="BP12" i="1"/>
  <c r="BO12" i="1"/>
  <c r="BN12" i="1"/>
  <c r="BM12" i="1"/>
  <c r="BL12" i="1"/>
  <c r="BK12" i="1"/>
  <c r="BJ12" i="1"/>
  <c r="BI12" i="1"/>
  <c r="BH12" i="1"/>
  <c r="BG12" i="1"/>
  <c r="BF12" i="1"/>
  <c r="BE12" i="1"/>
  <c r="BP11" i="1"/>
  <c r="BO11" i="1"/>
  <c r="BN11" i="1"/>
  <c r="BM11" i="1"/>
  <c r="BL11" i="1"/>
  <c r="BK11" i="1"/>
  <c r="BJ11" i="1"/>
  <c r="BI11" i="1"/>
  <c r="BH11" i="1"/>
  <c r="BG11" i="1"/>
  <c r="BF11" i="1"/>
  <c r="BE11" i="1"/>
  <c r="BP10" i="1"/>
  <c r="BO10" i="1"/>
  <c r="BN10" i="1"/>
  <c r="BM10" i="1"/>
  <c r="BL10" i="1"/>
  <c r="BK10" i="1"/>
  <c r="BJ10" i="1"/>
  <c r="BI10" i="1"/>
  <c r="BH10" i="1"/>
  <c r="BG10" i="1"/>
  <c r="BF10" i="1"/>
  <c r="BE10" i="1"/>
  <c r="BP9" i="1"/>
  <c r="BO9" i="1"/>
  <c r="BN9" i="1"/>
  <c r="BM9" i="1"/>
  <c r="BL9" i="1"/>
  <c r="BK9" i="1"/>
  <c r="BJ9" i="1"/>
  <c r="BI9" i="1"/>
  <c r="BH9" i="1"/>
  <c r="BG9" i="1"/>
  <c r="BF9" i="1"/>
  <c r="BE9" i="1"/>
  <c r="BP8" i="1"/>
  <c r="BO8" i="1"/>
  <c r="BN8" i="1"/>
  <c r="BM8" i="1"/>
  <c r="BL8" i="1"/>
  <c r="BK8" i="1"/>
  <c r="BJ8" i="1"/>
  <c r="BI8" i="1"/>
  <c r="BH8" i="1"/>
  <c r="BG8" i="1"/>
  <c r="BF8" i="1"/>
  <c r="BE8" i="1"/>
  <c r="BP7" i="1"/>
  <c r="BO7" i="1"/>
  <c r="BN7" i="1"/>
  <c r="BM7" i="1"/>
  <c r="BL7" i="1"/>
  <c r="BK7" i="1"/>
  <c r="BJ7" i="1"/>
  <c r="BI7" i="1"/>
  <c r="BH7" i="1"/>
  <c r="BG7" i="1"/>
  <c r="BF7" i="1"/>
  <c r="BE7" i="1"/>
  <c r="BP6" i="1"/>
  <c r="BO6" i="1"/>
  <c r="BN6" i="1"/>
  <c r="BM6" i="1"/>
  <c r="BL6" i="1"/>
  <c r="BK6" i="1"/>
  <c r="BJ6" i="1"/>
  <c r="BI6" i="1"/>
  <c r="BH6" i="1"/>
  <c r="BG6" i="1"/>
  <c r="BF6" i="1"/>
  <c r="BE6" i="1"/>
  <c r="BP5" i="1"/>
  <c r="BO5" i="1"/>
  <c r="BN5" i="1"/>
  <c r="BM5" i="1"/>
  <c r="BL5" i="1"/>
  <c r="BK5" i="1"/>
  <c r="BJ5" i="1"/>
  <c r="BI5" i="1"/>
  <c r="BH5" i="1"/>
  <c r="BG5" i="1"/>
  <c r="BF5" i="1"/>
  <c r="BE5" i="1"/>
  <c r="BP4" i="1"/>
  <c r="BO4" i="1"/>
  <c r="BN4" i="1"/>
  <c r="BM4" i="1"/>
  <c r="BL4" i="1"/>
  <c r="BK4" i="1"/>
  <c r="BJ4" i="1"/>
  <c r="BI4" i="1"/>
  <c r="BH4" i="1"/>
  <c r="BG4" i="1"/>
  <c r="BF4" i="1"/>
  <c r="BE4" i="1"/>
  <c r="AK22" i="1"/>
  <c r="AY22" i="1" s="1"/>
  <c r="AD4" i="1"/>
  <c r="AR4" i="1" s="1"/>
  <c r="AX13" i="1"/>
  <c r="AO12" i="1"/>
  <c r="BC12" i="1" s="1"/>
  <c r="AN12" i="1"/>
  <c r="BB12" i="1" s="1"/>
  <c r="AM12" i="1"/>
  <c r="BA12" i="1" s="1"/>
  <c r="AL12" i="1"/>
  <c r="AZ12" i="1" s="1"/>
  <c r="AK12" i="1"/>
  <c r="AY12" i="1" s="1"/>
  <c r="AJ12" i="1"/>
  <c r="AX12" i="1" s="1"/>
  <c r="AI12" i="1"/>
  <c r="AW12" i="1" s="1"/>
  <c r="AH12" i="1"/>
  <c r="AV12" i="1" s="1"/>
  <c r="AG12" i="1"/>
  <c r="AU12" i="1" s="1"/>
  <c r="AF12" i="1"/>
  <c r="AT12" i="1" s="1"/>
  <c r="AE12" i="1"/>
  <c r="AS12" i="1" s="1"/>
  <c r="AD12" i="1"/>
  <c r="AR12" i="1" s="1"/>
  <c r="AO20" i="1"/>
  <c r="BC20" i="1" s="1"/>
  <c r="AN20" i="1"/>
  <c r="BB20" i="1" s="1"/>
  <c r="AM20" i="1"/>
  <c r="BA20" i="1" s="1"/>
  <c r="AL20" i="1"/>
  <c r="AZ20" i="1" s="1"/>
  <c r="AK20" i="1"/>
  <c r="AY20" i="1" s="1"/>
  <c r="AJ20" i="1"/>
  <c r="AX20" i="1" s="1"/>
  <c r="AI20" i="1"/>
  <c r="AW20" i="1" s="1"/>
  <c r="AH20" i="1"/>
  <c r="AV20" i="1" s="1"/>
  <c r="AG20" i="1"/>
  <c r="AU20" i="1" s="1"/>
  <c r="AF20" i="1"/>
  <c r="AT20" i="1" s="1"/>
  <c r="AE20" i="1"/>
  <c r="AS20" i="1" s="1"/>
  <c r="AD20" i="1"/>
  <c r="AR20" i="1" s="1"/>
  <c r="AO33" i="1"/>
  <c r="BC33" i="1" s="1"/>
  <c r="AN33" i="1"/>
  <c r="BB33" i="1" s="1"/>
  <c r="AM33" i="1"/>
  <c r="BA33" i="1" s="1"/>
  <c r="AL33" i="1"/>
  <c r="AZ33" i="1" s="1"/>
  <c r="AK33" i="1"/>
  <c r="AY33" i="1" s="1"/>
  <c r="AJ33" i="1"/>
  <c r="AX33" i="1" s="1"/>
  <c r="AI33" i="1"/>
  <c r="AW33" i="1" s="1"/>
  <c r="AH33" i="1"/>
  <c r="AV33" i="1" s="1"/>
  <c r="AG33" i="1"/>
  <c r="AU33" i="1" s="1"/>
  <c r="AF33" i="1"/>
  <c r="AT33" i="1" s="1"/>
  <c r="AE33" i="1"/>
  <c r="AS33" i="1" s="1"/>
  <c r="AD33" i="1"/>
  <c r="AO32" i="1"/>
  <c r="BC32" i="1" s="1"/>
  <c r="AN32" i="1"/>
  <c r="BB32" i="1" s="1"/>
  <c r="AM32" i="1"/>
  <c r="BA32" i="1" s="1"/>
  <c r="AL32" i="1"/>
  <c r="AZ32" i="1" s="1"/>
  <c r="AK32" i="1"/>
  <c r="AY32" i="1" s="1"/>
  <c r="AJ32" i="1"/>
  <c r="AX32" i="1" s="1"/>
  <c r="AI32" i="1"/>
  <c r="AW32" i="1" s="1"/>
  <c r="AH32" i="1"/>
  <c r="AV32" i="1" s="1"/>
  <c r="AG32" i="1"/>
  <c r="AU32" i="1" s="1"/>
  <c r="AF32" i="1"/>
  <c r="AT32" i="1" s="1"/>
  <c r="AE32" i="1"/>
  <c r="AD32" i="1"/>
  <c r="AR32" i="1" s="1"/>
  <c r="AO22" i="1"/>
  <c r="AN22" i="1"/>
  <c r="BB22" i="1" s="1"/>
  <c r="AM22" i="1"/>
  <c r="BA22" i="1" s="1"/>
  <c r="AL22" i="1"/>
  <c r="AZ22" i="1" s="1"/>
  <c r="AJ22" i="1"/>
  <c r="AX22" i="1" s="1"/>
  <c r="AI22" i="1"/>
  <c r="AW22" i="1" s="1"/>
  <c r="AH22" i="1"/>
  <c r="AV22" i="1" s="1"/>
  <c r="AG22" i="1"/>
  <c r="AU22" i="1" s="1"/>
  <c r="AF22" i="1"/>
  <c r="AT22" i="1" s="1"/>
  <c r="AE22" i="1"/>
  <c r="AS22" i="1" s="1"/>
  <c r="AD22" i="1"/>
  <c r="AO11" i="1"/>
  <c r="BC11" i="1" s="1"/>
  <c r="AN11" i="1"/>
  <c r="BB11" i="1" s="1"/>
  <c r="AM11" i="1"/>
  <c r="BA11" i="1" s="1"/>
  <c r="AL11" i="1"/>
  <c r="AZ11" i="1" s="1"/>
  <c r="AK11" i="1"/>
  <c r="AY11" i="1" s="1"/>
  <c r="AJ11" i="1"/>
  <c r="AX11" i="1" s="1"/>
  <c r="AI11" i="1"/>
  <c r="AW11" i="1" s="1"/>
  <c r="AG11" i="1"/>
  <c r="AU11" i="1" s="1"/>
  <c r="AF11" i="1"/>
  <c r="AT11" i="1" s="1"/>
  <c r="AE11" i="1"/>
  <c r="AS11" i="1" s="1"/>
  <c r="AD11" i="1"/>
  <c r="AR11" i="1" s="1"/>
  <c r="AO10" i="1"/>
  <c r="BC10" i="1" s="1"/>
  <c r="AN10" i="1"/>
  <c r="BB10" i="1" s="1"/>
  <c r="AM10" i="1"/>
  <c r="BA10" i="1" s="1"/>
  <c r="AL10" i="1"/>
  <c r="AZ10" i="1" s="1"/>
  <c r="AK10" i="1"/>
  <c r="AY10" i="1" s="1"/>
  <c r="AJ10" i="1"/>
  <c r="AX10" i="1" s="1"/>
  <c r="AI10" i="1"/>
  <c r="AW10" i="1" s="1"/>
  <c r="AH10" i="1"/>
  <c r="AV10" i="1" s="1"/>
  <c r="AG10" i="1"/>
  <c r="AU10" i="1" s="1"/>
  <c r="AF10" i="1"/>
  <c r="AT10" i="1" s="1"/>
  <c r="AE10" i="1"/>
  <c r="AS10" i="1" s="1"/>
  <c r="AD10" i="1"/>
  <c r="AR10" i="1" s="1"/>
  <c r="AO76" i="1"/>
  <c r="BC76" i="1" s="1"/>
  <c r="AN76" i="1"/>
  <c r="BB76" i="1" s="1"/>
  <c r="AM76" i="1"/>
  <c r="BA76" i="1" s="1"/>
  <c r="AL76" i="1"/>
  <c r="AZ76" i="1" s="1"/>
  <c r="AK76" i="1"/>
  <c r="AY76" i="1" s="1"/>
  <c r="AJ76" i="1"/>
  <c r="AX76" i="1" s="1"/>
  <c r="AI76" i="1"/>
  <c r="AW76" i="1" s="1"/>
  <c r="AH76" i="1"/>
  <c r="AV76" i="1" s="1"/>
  <c r="AG76" i="1"/>
  <c r="AU76" i="1" s="1"/>
  <c r="AF76" i="1"/>
  <c r="AT76" i="1" s="1"/>
  <c r="AE76" i="1"/>
  <c r="AS76" i="1" s="1"/>
  <c r="AD76" i="1"/>
  <c r="AR76" i="1" s="1"/>
  <c r="AO75" i="1"/>
  <c r="BC75" i="1" s="1"/>
  <c r="AN75" i="1"/>
  <c r="BB75" i="1" s="1"/>
  <c r="AM75" i="1"/>
  <c r="BA75" i="1" s="1"/>
  <c r="AL75" i="1"/>
  <c r="AZ75" i="1" s="1"/>
  <c r="AK75" i="1"/>
  <c r="AY75" i="1" s="1"/>
  <c r="AJ75" i="1"/>
  <c r="AX75" i="1" s="1"/>
  <c r="AI75" i="1"/>
  <c r="AW75" i="1" s="1"/>
  <c r="AH75" i="1"/>
  <c r="AV75" i="1" s="1"/>
  <c r="AG75" i="1"/>
  <c r="AU75" i="1" s="1"/>
  <c r="AF75" i="1"/>
  <c r="AT75" i="1" s="1"/>
  <c r="AE75" i="1"/>
  <c r="AS75" i="1" s="1"/>
  <c r="AD75" i="1"/>
  <c r="AR75" i="1" s="1"/>
  <c r="AO74" i="1"/>
  <c r="BC74" i="1" s="1"/>
  <c r="AN74" i="1"/>
  <c r="BB74" i="1" s="1"/>
  <c r="AM74" i="1"/>
  <c r="BA74" i="1" s="1"/>
  <c r="AL74" i="1"/>
  <c r="AZ74" i="1" s="1"/>
  <c r="AK74" i="1"/>
  <c r="AY74" i="1" s="1"/>
  <c r="AJ74" i="1"/>
  <c r="AX74" i="1" s="1"/>
  <c r="AI74" i="1"/>
  <c r="AW74" i="1" s="1"/>
  <c r="AH74" i="1"/>
  <c r="AV74" i="1" s="1"/>
  <c r="AG74" i="1"/>
  <c r="AU74" i="1" s="1"/>
  <c r="AF74" i="1"/>
  <c r="AT74" i="1" s="1"/>
  <c r="AE74" i="1"/>
  <c r="AS74" i="1" s="1"/>
  <c r="AD74" i="1"/>
  <c r="AR74" i="1" s="1"/>
  <c r="AO73" i="1"/>
  <c r="BC73" i="1" s="1"/>
  <c r="AN73" i="1"/>
  <c r="BB73" i="1" s="1"/>
  <c r="AM73" i="1"/>
  <c r="BA73" i="1" s="1"/>
  <c r="AL73" i="1"/>
  <c r="AZ73" i="1" s="1"/>
  <c r="AK73" i="1"/>
  <c r="AY73" i="1" s="1"/>
  <c r="AJ73" i="1"/>
  <c r="AX73" i="1" s="1"/>
  <c r="AI73" i="1"/>
  <c r="AW73" i="1" s="1"/>
  <c r="AH73" i="1"/>
  <c r="AV73" i="1" s="1"/>
  <c r="AG73" i="1"/>
  <c r="AF73" i="1"/>
  <c r="AE73" i="1"/>
  <c r="AS73" i="1" s="1"/>
  <c r="AD73" i="1"/>
  <c r="AR73" i="1" s="1"/>
  <c r="AO72" i="1"/>
  <c r="BC72" i="1" s="1"/>
  <c r="AN72" i="1"/>
  <c r="BB72" i="1" s="1"/>
  <c r="AM72" i="1"/>
  <c r="BA72" i="1" s="1"/>
  <c r="AL72" i="1"/>
  <c r="AZ72" i="1" s="1"/>
  <c r="AK72" i="1"/>
  <c r="AY72" i="1" s="1"/>
  <c r="AJ72" i="1"/>
  <c r="AX72" i="1" s="1"/>
  <c r="AI72" i="1"/>
  <c r="AW72" i="1" s="1"/>
  <c r="AH72" i="1"/>
  <c r="AV72" i="1" s="1"/>
  <c r="AG72" i="1"/>
  <c r="AU72" i="1" s="1"/>
  <c r="AF72" i="1"/>
  <c r="AT72" i="1" s="1"/>
  <c r="AE72" i="1"/>
  <c r="AS72" i="1" s="1"/>
  <c r="AD72" i="1"/>
  <c r="AO71" i="1"/>
  <c r="BC71" i="1" s="1"/>
  <c r="AN71" i="1"/>
  <c r="BB71" i="1" s="1"/>
  <c r="AM71" i="1"/>
  <c r="BA71" i="1" s="1"/>
  <c r="AL71" i="1"/>
  <c r="AZ71" i="1" s="1"/>
  <c r="AK71" i="1"/>
  <c r="AY71" i="1" s="1"/>
  <c r="AJ71" i="1"/>
  <c r="AI71" i="1"/>
  <c r="AW71" i="1" s="1"/>
  <c r="AH71" i="1"/>
  <c r="AG71" i="1"/>
  <c r="AU71" i="1" s="1"/>
  <c r="AF71" i="1"/>
  <c r="AT71" i="1" s="1"/>
  <c r="AE71" i="1"/>
  <c r="AS71" i="1" s="1"/>
  <c r="AD71" i="1"/>
  <c r="AO70" i="1"/>
  <c r="BC70" i="1" s="1"/>
  <c r="AN70" i="1"/>
  <c r="BB70" i="1" s="1"/>
  <c r="AM70" i="1"/>
  <c r="BA70" i="1" s="1"/>
  <c r="AL70" i="1"/>
  <c r="AZ70" i="1" s="1"/>
  <c r="AK70" i="1"/>
  <c r="AY70" i="1" s="1"/>
  <c r="AJ70" i="1"/>
  <c r="AX70" i="1" s="1"/>
  <c r="AI70" i="1"/>
  <c r="AW70" i="1" s="1"/>
  <c r="AH70" i="1"/>
  <c r="AV70" i="1" s="1"/>
  <c r="AG70" i="1"/>
  <c r="AU70" i="1" s="1"/>
  <c r="AF70" i="1"/>
  <c r="AT70" i="1" s="1"/>
  <c r="AE70" i="1"/>
  <c r="AS70" i="1" s="1"/>
  <c r="AD70" i="1"/>
  <c r="AO69" i="1"/>
  <c r="BC69" i="1" s="1"/>
  <c r="AN69" i="1"/>
  <c r="BB69" i="1" s="1"/>
  <c r="AM69" i="1"/>
  <c r="BA69" i="1" s="1"/>
  <c r="AL69" i="1"/>
  <c r="AZ69" i="1" s="1"/>
  <c r="AK69" i="1"/>
  <c r="AY69" i="1" s="1"/>
  <c r="AJ69" i="1"/>
  <c r="AX69" i="1" s="1"/>
  <c r="AI69" i="1"/>
  <c r="AW69" i="1" s="1"/>
  <c r="AH69" i="1"/>
  <c r="AV69" i="1" s="1"/>
  <c r="AG69" i="1"/>
  <c r="AU69" i="1" s="1"/>
  <c r="AF69" i="1"/>
  <c r="AT69" i="1" s="1"/>
  <c r="AE69" i="1"/>
  <c r="AS69" i="1" s="1"/>
  <c r="AD69" i="1"/>
  <c r="AO68" i="1"/>
  <c r="BC68" i="1" s="1"/>
  <c r="AN68" i="1"/>
  <c r="BB68" i="1" s="1"/>
  <c r="AM68" i="1"/>
  <c r="BA68" i="1" s="1"/>
  <c r="AL68" i="1"/>
  <c r="AZ68" i="1" s="1"/>
  <c r="AK68" i="1"/>
  <c r="AY68" i="1" s="1"/>
  <c r="AJ68" i="1"/>
  <c r="AX68" i="1" s="1"/>
  <c r="AI68" i="1"/>
  <c r="AW68" i="1" s="1"/>
  <c r="AH68" i="1"/>
  <c r="AV68" i="1" s="1"/>
  <c r="AG68" i="1"/>
  <c r="AU68" i="1" s="1"/>
  <c r="AF68" i="1"/>
  <c r="AT68" i="1" s="1"/>
  <c r="AE68" i="1"/>
  <c r="AS68" i="1" s="1"/>
  <c r="AD68" i="1"/>
  <c r="AO67" i="1"/>
  <c r="BC67" i="1" s="1"/>
  <c r="AN67" i="1"/>
  <c r="BB67" i="1" s="1"/>
  <c r="AM67" i="1"/>
  <c r="BA67" i="1" s="1"/>
  <c r="AL67" i="1"/>
  <c r="AZ67" i="1" s="1"/>
  <c r="AK67" i="1"/>
  <c r="AY67" i="1" s="1"/>
  <c r="AJ67" i="1"/>
  <c r="AX67" i="1" s="1"/>
  <c r="AI67" i="1"/>
  <c r="AW67" i="1" s="1"/>
  <c r="AH67" i="1"/>
  <c r="AV67" i="1" s="1"/>
  <c r="AG67" i="1"/>
  <c r="AU67" i="1" s="1"/>
  <c r="AF67" i="1"/>
  <c r="AT67" i="1" s="1"/>
  <c r="AE67" i="1"/>
  <c r="AS67" i="1" s="1"/>
  <c r="AD67" i="1"/>
  <c r="AO66" i="1"/>
  <c r="BC66" i="1" s="1"/>
  <c r="AN66" i="1"/>
  <c r="BB66" i="1" s="1"/>
  <c r="AM66" i="1"/>
  <c r="BA66" i="1" s="1"/>
  <c r="AL66" i="1"/>
  <c r="AZ66" i="1" s="1"/>
  <c r="AK66" i="1"/>
  <c r="AY66" i="1" s="1"/>
  <c r="AJ66" i="1"/>
  <c r="AI66" i="1"/>
  <c r="AW66" i="1" s="1"/>
  <c r="AH66" i="1"/>
  <c r="AV66" i="1" s="1"/>
  <c r="AG66" i="1"/>
  <c r="AU66" i="1" s="1"/>
  <c r="AF66" i="1"/>
  <c r="AT66" i="1" s="1"/>
  <c r="AE66" i="1"/>
  <c r="AS66" i="1" s="1"/>
  <c r="AD66" i="1"/>
  <c r="AO65" i="1"/>
  <c r="BC65" i="1" s="1"/>
  <c r="AN65" i="1"/>
  <c r="BB65" i="1" s="1"/>
  <c r="AM65" i="1"/>
  <c r="BA65" i="1" s="1"/>
  <c r="AL65" i="1"/>
  <c r="AZ65" i="1" s="1"/>
  <c r="AK65" i="1"/>
  <c r="AY65" i="1" s="1"/>
  <c r="AJ65" i="1"/>
  <c r="AX65" i="1" s="1"/>
  <c r="AI65" i="1"/>
  <c r="AW65" i="1" s="1"/>
  <c r="AH65" i="1"/>
  <c r="AV65" i="1" s="1"/>
  <c r="AG65" i="1"/>
  <c r="AU65" i="1" s="1"/>
  <c r="AF65" i="1"/>
  <c r="AT65" i="1" s="1"/>
  <c r="AE65" i="1"/>
  <c r="AS65" i="1" s="1"/>
  <c r="AD65" i="1"/>
  <c r="AO64" i="1"/>
  <c r="BC64" i="1" s="1"/>
  <c r="AN64" i="1"/>
  <c r="BB64" i="1" s="1"/>
  <c r="AM64" i="1"/>
  <c r="BA64" i="1" s="1"/>
  <c r="AL64" i="1"/>
  <c r="AZ64" i="1" s="1"/>
  <c r="AK64" i="1"/>
  <c r="AY64" i="1" s="1"/>
  <c r="AJ64" i="1"/>
  <c r="AX64" i="1" s="1"/>
  <c r="AI64" i="1"/>
  <c r="AW64" i="1" s="1"/>
  <c r="AH64" i="1"/>
  <c r="AV64" i="1" s="1"/>
  <c r="AG64" i="1"/>
  <c r="AU64" i="1" s="1"/>
  <c r="AF64" i="1"/>
  <c r="AT64" i="1" s="1"/>
  <c r="AE64" i="1"/>
  <c r="AS64" i="1" s="1"/>
  <c r="AD64" i="1"/>
  <c r="AO63" i="1"/>
  <c r="BC63" i="1" s="1"/>
  <c r="AN63" i="1"/>
  <c r="BB63" i="1" s="1"/>
  <c r="AM63" i="1"/>
  <c r="BA63" i="1" s="1"/>
  <c r="AL63" i="1"/>
  <c r="AZ63" i="1" s="1"/>
  <c r="AK63" i="1"/>
  <c r="AY63" i="1" s="1"/>
  <c r="AJ63" i="1"/>
  <c r="AX63" i="1" s="1"/>
  <c r="AI63" i="1"/>
  <c r="AW63" i="1" s="1"/>
  <c r="AH63" i="1"/>
  <c r="AV63" i="1" s="1"/>
  <c r="AG63" i="1"/>
  <c r="AU63" i="1" s="1"/>
  <c r="AF63" i="1"/>
  <c r="AT63" i="1" s="1"/>
  <c r="AE63" i="1"/>
  <c r="AS63" i="1" s="1"/>
  <c r="AD63" i="1"/>
  <c r="AO62" i="1"/>
  <c r="BC62" i="1" s="1"/>
  <c r="AN62" i="1"/>
  <c r="BB62" i="1" s="1"/>
  <c r="AM62" i="1"/>
  <c r="BA62" i="1" s="1"/>
  <c r="AL62" i="1"/>
  <c r="AZ62" i="1" s="1"/>
  <c r="AK62" i="1"/>
  <c r="AY62" i="1" s="1"/>
  <c r="AJ62" i="1"/>
  <c r="AX62" i="1" s="1"/>
  <c r="AI62" i="1"/>
  <c r="AW62" i="1" s="1"/>
  <c r="AH62" i="1"/>
  <c r="AV62" i="1" s="1"/>
  <c r="AG62" i="1"/>
  <c r="AU62" i="1" s="1"/>
  <c r="AF62" i="1"/>
  <c r="AT62" i="1" s="1"/>
  <c r="AE62" i="1"/>
  <c r="AS62" i="1" s="1"/>
  <c r="AD62" i="1"/>
  <c r="AO61" i="1"/>
  <c r="BC61" i="1" s="1"/>
  <c r="AN61" i="1"/>
  <c r="BB61" i="1" s="1"/>
  <c r="AM61" i="1"/>
  <c r="BA61" i="1" s="1"/>
  <c r="AL61" i="1"/>
  <c r="AZ61" i="1" s="1"/>
  <c r="AK61" i="1"/>
  <c r="AY61" i="1" s="1"/>
  <c r="AJ61" i="1"/>
  <c r="AX61" i="1" s="1"/>
  <c r="AI61" i="1"/>
  <c r="AW61" i="1" s="1"/>
  <c r="AH61" i="1"/>
  <c r="AV61" i="1" s="1"/>
  <c r="AG61" i="1"/>
  <c r="AU61" i="1" s="1"/>
  <c r="AF61" i="1"/>
  <c r="AT61" i="1" s="1"/>
  <c r="AE61" i="1"/>
  <c r="AS61" i="1" s="1"/>
  <c r="AD61" i="1"/>
  <c r="AO60" i="1"/>
  <c r="BC60" i="1" s="1"/>
  <c r="AN60" i="1"/>
  <c r="BB60" i="1" s="1"/>
  <c r="AM60" i="1"/>
  <c r="BA60" i="1" s="1"/>
  <c r="AL60" i="1"/>
  <c r="AZ60" i="1" s="1"/>
  <c r="AK60" i="1"/>
  <c r="AY60" i="1" s="1"/>
  <c r="AJ60" i="1"/>
  <c r="AX60" i="1" s="1"/>
  <c r="AI60" i="1"/>
  <c r="AW60" i="1" s="1"/>
  <c r="AH60" i="1"/>
  <c r="AV60" i="1" s="1"/>
  <c r="AG60" i="1"/>
  <c r="AU60" i="1" s="1"/>
  <c r="AF60" i="1"/>
  <c r="AT60" i="1" s="1"/>
  <c r="AE60" i="1"/>
  <c r="AS60" i="1" s="1"/>
  <c r="AD60" i="1"/>
  <c r="AO59" i="1"/>
  <c r="AN59" i="1"/>
  <c r="BB59" i="1" s="1"/>
  <c r="AM59" i="1"/>
  <c r="BA59" i="1" s="1"/>
  <c r="AL59" i="1"/>
  <c r="AZ59" i="1" s="1"/>
  <c r="AK59" i="1"/>
  <c r="AY59" i="1" s="1"/>
  <c r="AJ59" i="1"/>
  <c r="AX59" i="1" s="1"/>
  <c r="AI59" i="1"/>
  <c r="AW59" i="1" s="1"/>
  <c r="AH59" i="1"/>
  <c r="AV59" i="1" s="1"/>
  <c r="AG59" i="1"/>
  <c r="AU59" i="1" s="1"/>
  <c r="AF59" i="1"/>
  <c r="AT59" i="1" s="1"/>
  <c r="AE59" i="1"/>
  <c r="AS59" i="1" s="1"/>
  <c r="AD59" i="1"/>
  <c r="AO58" i="1"/>
  <c r="BC58" i="1" s="1"/>
  <c r="AN58" i="1"/>
  <c r="BB58" i="1" s="1"/>
  <c r="AM58" i="1"/>
  <c r="BA58" i="1" s="1"/>
  <c r="AL58" i="1"/>
  <c r="AZ58" i="1" s="1"/>
  <c r="AK58" i="1"/>
  <c r="AY58" i="1" s="1"/>
  <c r="AJ58" i="1"/>
  <c r="AX58" i="1" s="1"/>
  <c r="AI58" i="1"/>
  <c r="AW58" i="1" s="1"/>
  <c r="AH58" i="1"/>
  <c r="AV58" i="1" s="1"/>
  <c r="AG58" i="1"/>
  <c r="AU58" i="1" s="1"/>
  <c r="AF58" i="1"/>
  <c r="AE58" i="1"/>
  <c r="AS58" i="1" s="1"/>
  <c r="AD58" i="1"/>
  <c r="AR58" i="1" s="1"/>
  <c r="AO57" i="1"/>
  <c r="BC57" i="1" s="1"/>
  <c r="AN57" i="1"/>
  <c r="BB57" i="1" s="1"/>
  <c r="AM57" i="1"/>
  <c r="BA57" i="1" s="1"/>
  <c r="AL57" i="1"/>
  <c r="AZ57" i="1" s="1"/>
  <c r="AK57" i="1"/>
  <c r="AY57" i="1" s="1"/>
  <c r="AJ57" i="1"/>
  <c r="AX57" i="1" s="1"/>
  <c r="AI57" i="1"/>
  <c r="AW57" i="1" s="1"/>
  <c r="AH57" i="1"/>
  <c r="AV57" i="1" s="1"/>
  <c r="AG57" i="1"/>
  <c r="AU57" i="1" s="1"/>
  <c r="AF57" i="1"/>
  <c r="AT57" i="1" s="1"/>
  <c r="AE57" i="1"/>
  <c r="AS57" i="1" s="1"/>
  <c r="AD57" i="1"/>
  <c r="AO56" i="1"/>
  <c r="BC56" i="1" s="1"/>
  <c r="AN56" i="1"/>
  <c r="BB56" i="1" s="1"/>
  <c r="AM56" i="1"/>
  <c r="BA56" i="1" s="1"/>
  <c r="AK56" i="1"/>
  <c r="AY56" i="1" s="1"/>
  <c r="AJ56" i="1"/>
  <c r="AX56" i="1" s="1"/>
  <c r="AI56" i="1"/>
  <c r="AW56" i="1" s="1"/>
  <c r="AH56" i="1"/>
  <c r="AV56" i="1" s="1"/>
  <c r="AG56" i="1"/>
  <c r="AU56" i="1" s="1"/>
  <c r="AF56" i="1"/>
  <c r="AT56" i="1" s="1"/>
  <c r="AE56" i="1"/>
  <c r="AS56" i="1" s="1"/>
  <c r="AD56" i="1"/>
  <c r="AO55" i="1"/>
  <c r="BC55" i="1" s="1"/>
  <c r="AN55" i="1"/>
  <c r="BB55" i="1" s="1"/>
  <c r="AM55" i="1"/>
  <c r="BA55" i="1" s="1"/>
  <c r="AZ55" i="1"/>
  <c r="AK55" i="1"/>
  <c r="AY55" i="1" s="1"/>
  <c r="AJ55" i="1"/>
  <c r="AX55" i="1" s="1"/>
  <c r="AI55" i="1"/>
  <c r="AW55" i="1" s="1"/>
  <c r="AH55" i="1"/>
  <c r="AV55" i="1" s="1"/>
  <c r="AG55" i="1"/>
  <c r="AU55" i="1" s="1"/>
  <c r="AF55" i="1"/>
  <c r="AT55" i="1" s="1"/>
  <c r="AE55" i="1"/>
  <c r="AS55" i="1" s="1"/>
  <c r="AD55" i="1"/>
  <c r="AO54" i="1"/>
  <c r="BC54" i="1" s="1"/>
  <c r="AN54" i="1"/>
  <c r="AM54" i="1"/>
  <c r="BA54" i="1" s="1"/>
  <c r="AL54" i="1"/>
  <c r="AZ54" i="1" s="1"/>
  <c r="AK54" i="1"/>
  <c r="AY54" i="1" s="1"/>
  <c r="AJ54" i="1"/>
  <c r="AX54" i="1" s="1"/>
  <c r="AI54" i="1"/>
  <c r="AW54" i="1" s="1"/>
  <c r="AH54" i="1"/>
  <c r="AV54" i="1" s="1"/>
  <c r="AG54" i="1"/>
  <c r="AU54" i="1" s="1"/>
  <c r="AF54" i="1"/>
  <c r="AT54" i="1" s="1"/>
  <c r="AE54" i="1"/>
  <c r="AS54" i="1" s="1"/>
  <c r="AD54" i="1"/>
  <c r="AO53" i="1"/>
  <c r="BC53" i="1" s="1"/>
  <c r="AN53" i="1"/>
  <c r="BB53" i="1" s="1"/>
  <c r="AM53" i="1"/>
  <c r="BA53" i="1" s="1"/>
  <c r="AL53" i="1"/>
  <c r="AZ53" i="1" s="1"/>
  <c r="AK53" i="1"/>
  <c r="AY53" i="1" s="1"/>
  <c r="AJ53" i="1"/>
  <c r="AX53" i="1" s="1"/>
  <c r="AI53" i="1"/>
  <c r="AW53" i="1" s="1"/>
  <c r="AH53" i="1"/>
  <c r="AV53" i="1" s="1"/>
  <c r="AG53" i="1"/>
  <c r="AF53" i="1"/>
  <c r="AT53" i="1" s="1"/>
  <c r="AE53" i="1"/>
  <c r="AS53" i="1" s="1"/>
  <c r="AD53" i="1"/>
  <c r="AR53" i="1" s="1"/>
  <c r="AO52" i="1"/>
  <c r="BC52" i="1" s="1"/>
  <c r="AN52" i="1"/>
  <c r="BB52" i="1" s="1"/>
  <c r="AM52" i="1"/>
  <c r="BA52" i="1" s="1"/>
  <c r="AL52" i="1"/>
  <c r="AZ52" i="1" s="1"/>
  <c r="AK52" i="1"/>
  <c r="AY52" i="1" s="1"/>
  <c r="AJ52" i="1"/>
  <c r="AX52" i="1" s="1"/>
  <c r="AI52" i="1"/>
  <c r="AW52" i="1" s="1"/>
  <c r="AH52" i="1"/>
  <c r="AV52" i="1" s="1"/>
  <c r="AG52" i="1"/>
  <c r="AU52" i="1" s="1"/>
  <c r="AF52" i="1"/>
  <c r="AE52" i="1"/>
  <c r="AS52" i="1" s="1"/>
  <c r="AD52" i="1"/>
  <c r="AR52" i="1" s="1"/>
  <c r="AO51" i="1"/>
  <c r="BC51" i="1" s="1"/>
  <c r="AN51" i="1"/>
  <c r="BB51" i="1" s="1"/>
  <c r="AM51" i="1"/>
  <c r="BA51" i="1" s="1"/>
  <c r="AL51" i="1"/>
  <c r="AZ51" i="1" s="1"/>
  <c r="AK51" i="1"/>
  <c r="AY51" i="1" s="1"/>
  <c r="AJ51" i="1"/>
  <c r="AX51" i="1" s="1"/>
  <c r="AI51" i="1"/>
  <c r="AW51" i="1" s="1"/>
  <c r="AH51" i="1"/>
  <c r="AV51" i="1" s="1"/>
  <c r="AG51" i="1"/>
  <c r="AU51" i="1" s="1"/>
  <c r="AF51" i="1"/>
  <c r="AT51" i="1" s="1"/>
  <c r="AE51" i="1"/>
  <c r="AS51" i="1" s="1"/>
  <c r="AD51" i="1"/>
  <c r="AR51" i="1" s="1"/>
  <c r="AO50" i="1"/>
  <c r="BC50" i="1" s="1"/>
  <c r="AN50" i="1"/>
  <c r="BB50" i="1" s="1"/>
  <c r="AM50" i="1"/>
  <c r="BA50" i="1" s="1"/>
  <c r="AL50" i="1"/>
  <c r="AZ50" i="1" s="1"/>
  <c r="AK50" i="1"/>
  <c r="AY50" i="1" s="1"/>
  <c r="AJ50" i="1"/>
  <c r="AX50" i="1" s="1"/>
  <c r="AI50" i="1"/>
  <c r="AW50" i="1" s="1"/>
  <c r="AH50" i="1"/>
  <c r="AV50" i="1" s="1"/>
  <c r="AG50" i="1"/>
  <c r="AU50" i="1" s="1"/>
  <c r="AF50" i="1"/>
  <c r="AT50" i="1" s="1"/>
  <c r="AE50" i="1"/>
  <c r="AS50" i="1" s="1"/>
  <c r="AD50" i="1"/>
  <c r="AO49" i="1"/>
  <c r="AN49" i="1"/>
  <c r="BB49" i="1" s="1"/>
  <c r="AM49" i="1"/>
  <c r="BA49" i="1" s="1"/>
  <c r="AL49" i="1"/>
  <c r="AZ49" i="1" s="1"/>
  <c r="AK49" i="1"/>
  <c r="AY49" i="1" s="1"/>
  <c r="AJ49" i="1"/>
  <c r="AX49" i="1" s="1"/>
  <c r="AI49" i="1"/>
  <c r="AW49" i="1" s="1"/>
  <c r="AH49" i="1"/>
  <c r="AV49" i="1" s="1"/>
  <c r="AG49" i="1"/>
  <c r="AU49" i="1" s="1"/>
  <c r="AF49" i="1"/>
  <c r="AT49" i="1" s="1"/>
  <c r="AE49" i="1"/>
  <c r="AS49" i="1" s="1"/>
  <c r="AD49" i="1"/>
  <c r="AO48" i="1"/>
  <c r="BC48" i="1" s="1"/>
  <c r="AN48" i="1"/>
  <c r="BB48" i="1" s="1"/>
  <c r="AM48" i="1"/>
  <c r="BA48" i="1" s="1"/>
  <c r="AL48" i="1"/>
  <c r="AZ48" i="1" s="1"/>
  <c r="AK48" i="1"/>
  <c r="AY48" i="1" s="1"/>
  <c r="AJ48" i="1"/>
  <c r="AX48" i="1" s="1"/>
  <c r="AI48" i="1"/>
  <c r="AW48" i="1" s="1"/>
  <c r="AH48" i="1"/>
  <c r="AV48" i="1" s="1"/>
  <c r="AG48" i="1"/>
  <c r="AU48" i="1" s="1"/>
  <c r="AF48" i="1"/>
  <c r="AT48" i="1" s="1"/>
  <c r="AE48" i="1"/>
  <c r="AS48" i="1" s="1"/>
  <c r="AD48" i="1"/>
  <c r="AR48" i="1" s="1"/>
  <c r="AO47" i="1"/>
  <c r="BC47" i="1" s="1"/>
  <c r="AN47" i="1"/>
  <c r="BB47" i="1" s="1"/>
  <c r="AM47" i="1"/>
  <c r="BA47" i="1" s="1"/>
  <c r="AL47" i="1"/>
  <c r="AZ47" i="1" s="1"/>
  <c r="AK47" i="1"/>
  <c r="AY47" i="1" s="1"/>
  <c r="AJ47" i="1"/>
  <c r="AX47" i="1" s="1"/>
  <c r="AI47" i="1"/>
  <c r="AW47" i="1" s="1"/>
  <c r="AH47" i="1"/>
  <c r="AV47" i="1" s="1"/>
  <c r="AG47" i="1"/>
  <c r="AU47" i="1" s="1"/>
  <c r="AF47" i="1"/>
  <c r="AT47" i="1" s="1"/>
  <c r="AE47" i="1"/>
  <c r="AS47" i="1" s="1"/>
  <c r="AD47" i="1"/>
  <c r="AR47" i="1" s="1"/>
  <c r="AO46" i="1"/>
  <c r="BC46" i="1" s="1"/>
  <c r="AN46" i="1"/>
  <c r="BB46" i="1" s="1"/>
  <c r="AM46" i="1"/>
  <c r="BA46" i="1" s="1"/>
  <c r="AL46" i="1"/>
  <c r="AZ46" i="1" s="1"/>
  <c r="AK46" i="1"/>
  <c r="AY46" i="1" s="1"/>
  <c r="AJ46" i="1"/>
  <c r="AX46" i="1" s="1"/>
  <c r="AI46" i="1"/>
  <c r="AW46" i="1" s="1"/>
  <c r="AH46" i="1"/>
  <c r="AV46" i="1" s="1"/>
  <c r="AG46" i="1"/>
  <c r="AU46" i="1" s="1"/>
  <c r="AF46" i="1"/>
  <c r="AT46" i="1" s="1"/>
  <c r="AE46" i="1"/>
  <c r="AS46" i="1" s="1"/>
  <c r="AD46" i="1"/>
  <c r="AR46" i="1" s="1"/>
  <c r="AO45" i="1"/>
  <c r="BC45" i="1" s="1"/>
  <c r="AN45" i="1"/>
  <c r="BB45" i="1" s="1"/>
  <c r="AM45" i="1"/>
  <c r="BA45" i="1" s="1"/>
  <c r="AL45" i="1"/>
  <c r="AZ45" i="1" s="1"/>
  <c r="AK45" i="1"/>
  <c r="AY45" i="1" s="1"/>
  <c r="AJ45" i="1"/>
  <c r="AX45" i="1" s="1"/>
  <c r="AI45" i="1"/>
  <c r="AW45" i="1" s="1"/>
  <c r="AH45" i="1"/>
  <c r="AV45" i="1" s="1"/>
  <c r="AG45" i="1"/>
  <c r="AU45" i="1" s="1"/>
  <c r="AF45" i="1"/>
  <c r="AT45" i="1" s="1"/>
  <c r="AE45" i="1"/>
  <c r="AS45" i="1" s="1"/>
  <c r="AD45" i="1"/>
  <c r="AR45" i="1" s="1"/>
  <c r="AO44" i="1"/>
  <c r="BC44" i="1" s="1"/>
  <c r="AN44" i="1"/>
  <c r="BB44" i="1" s="1"/>
  <c r="AM44" i="1"/>
  <c r="BA44" i="1" s="1"/>
  <c r="AL44" i="1"/>
  <c r="AZ44" i="1" s="1"/>
  <c r="AK44" i="1"/>
  <c r="AY44" i="1" s="1"/>
  <c r="AJ44" i="1"/>
  <c r="AX44" i="1" s="1"/>
  <c r="AI44" i="1"/>
  <c r="AW44" i="1" s="1"/>
  <c r="AH44" i="1"/>
  <c r="AV44" i="1" s="1"/>
  <c r="AG44" i="1"/>
  <c r="AU44" i="1" s="1"/>
  <c r="AF44" i="1"/>
  <c r="AT44" i="1" s="1"/>
  <c r="AE44" i="1"/>
  <c r="AS44" i="1" s="1"/>
  <c r="AD44" i="1"/>
  <c r="AO43" i="1"/>
  <c r="BC43" i="1" s="1"/>
  <c r="AN43" i="1"/>
  <c r="BB43" i="1" s="1"/>
  <c r="AM43" i="1"/>
  <c r="BA43" i="1" s="1"/>
  <c r="AL43" i="1"/>
  <c r="AZ43" i="1" s="1"/>
  <c r="AK43" i="1"/>
  <c r="AY43" i="1" s="1"/>
  <c r="AJ43" i="1"/>
  <c r="AX43" i="1" s="1"/>
  <c r="AI43" i="1"/>
  <c r="AW43" i="1" s="1"/>
  <c r="AH43" i="1"/>
  <c r="AV43" i="1" s="1"/>
  <c r="AG43" i="1"/>
  <c r="AU43" i="1" s="1"/>
  <c r="AF43" i="1"/>
  <c r="AT43" i="1" s="1"/>
  <c r="AE43" i="1"/>
  <c r="AS43" i="1" s="1"/>
  <c r="AD43" i="1"/>
  <c r="AO42" i="1"/>
  <c r="BC42" i="1" s="1"/>
  <c r="AN42" i="1"/>
  <c r="BB42" i="1" s="1"/>
  <c r="AM42" i="1"/>
  <c r="BA42" i="1" s="1"/>
  <c r="AL42" i="1"/>
  <c r="AZ42" i="1" s="1"/>
  <c r="AK42" i="1"/>
  <c r="AY42" i="1" s="1"/>
  <c r="AJ42" i="1"/>
  <c r="AX42" i="1" s="1"/>
  <c r="AI42" i="1"/>
  <c r="AW42" i="1" s="1"/>
  <c r="AH42" i="1"/>
  <c r="AV42" i="1" s="1"/>
  <c r="AG42" i="1"/>
  <c r="AU42" i="1" s="1"/>
  <c r="AF42" i="1"/>
  <c r="AT42" i="1" s="1"/>
  <c r="AE42" i="1"/>
  <c r="AS42" i="1" s="1"/>
  <c r="AD42" i="1"/>
  <c r="AO41" i="1"/>
  <c r="BC41" i="1" s="1"/>
  <c r="AN41" i="1"/>
  <c r="BB41" i="1" s="1"/>
  <c r="AM41" i="1"/>
  <c r="BA41" i="1" s="1"/>
  <c r="AL41" i="1"/>
  <c r="AZ41" i="1" s="1"/>
  <c r="AK41" i="1"/>
  <c r="AY41" i="1" s="1"/>
  <c r="AJ41" i="1"/>
  <c r="AX41" i="1" s="1"/>
  <c r="AI41" i="1"/>
  <c r="AW41" i="1" s="1"/>
  <c r="AH41" i="1"/>
  <c r="AV41" i="1" s="1"/>
  <c r="AG41" i="1"/>
  <c r="AU41" i="1" s="1"/>
  <c r="AF41" i="1"/>
  <c r="AT41" i="1" s="1"/>
  <c r="AE41" i="1"/>
  <c r="AS41" i="1" s="1"/>
  <c r="AD41" i="1"/>
  <c r="AO15" i="1"/>
  <c r="BC15" i="1" s="1"/>
  <c r="AN15" i="1"/>
  <c r="BB15" i="1" s="1"/>
  <c r="AM15" i="1"/>
  <c r="BA15" i="1" s="1"/>
  <c r="AL15" i="1"/>
  <c r="AZ15" i="1" s="1"/>
  <c r="AK15" i="1"/>
  <c r="AY15" i="1" s="1"/>
  <c r="AJ15" i="1"/>
  <c r="AX15" i="1" s="1"/>
  <c r="AI15" i="1"/>
  <c r="AW15" i="1" s="1"/>
  <c r="AH15" i="1"/>
  <c r="AV15" i="1" s="1"/>
  <c r="AG15" i="1"/>
  <c r="AU15" i="1" s="1"/>
  <c r="AF15" i="1"/>
  <c r="AT15" i="1" s="1"/>
  <c r="AE15" i="1"/>
  <c r="AS15" i="1" s="1"/>
  <c r="AD15" i="1"/>
  <c r="AO9" i="1"/>
  <c r="BC9" i="1" s="1"/>
  <c r="AN9" i="1"/>
  <c r="BB9" i="1" s="1"/>
  <c r="AM9" i="1"/>
  <c r="BA9" i="1" s="1"/>
  <c r="AL9" i="1"/>
  <c r="AZ9" i="1" s="1"/>
  <c r="AK9" i="1"/>
  <c r="AY9" i="1" s="1"/>
  <c r="AJ9" i="1"/>
  <c r="AX9" i="1" s="1"/>
  <c r="AI9" i="1"/>
  <c r="AW9" i="1" s="1"/>
  <c r="AH9" i="1"/>
  <c r="AV9" i="1" s="1"/>
  <c r="AG9" i="1"/>
  <c r="AU9" i="1" s="1"/>
  <c r="AF9" i="1"/>
  <c r="AT9" i="1" s="1"/>
  <c r="AE9" i="1"/>
  <c r="AS9" i="1" s="1"/>
  <c r="AD9" i="1"/>
  <c r="AR9" i="1" s="1"/>
  <c r="AO8" i="1"/>
  <c r="BC8" i="1" s="1"/>
  <c r="AN8" i="1"/>
  <c r="BB8" i="1" s="1"/>
  <c r="AM8" i="1"/>
  <c r="BA8" i="1" s="1"/>
  <c r="AL8" i="1"/>
  <c r="AZ8" i="1" s="1"/>
  <c r="AK8" i="1"/>
  <c r="AY8" i="1" s="1"/>
  <c r="AJ8" i="1"/>
  <c r="AX8" i="1" s="1"/>
  <c r="AI8" i="1"/>
  <c r="AW8" i="1" s="1"/>
  <c r="AH8" i="1"/>
  <c r="AV8" i="1" s="1"/>
  <c r="AG8" i="1"/>
  <c r="AU8" i="1" s="1"/>
  <c r="AF8" i="1"/>
  <c r="AT8" i="1" s="1"/>
  <c r="AE8" i="1"/>
  <c r="AS8" i="1" s="1"/>
  <c r="AD8" i="1"/>
  <c r="AR8" i="1" s="1"/>
  <c r="AO39" i="1"/>
  <c r="BC39" i="1" s="1"/>
  <c r="AN39" i="1"/>
  <c r="BB39" i="1" s="1"/>
  <c r="AM39" i="1"/>
  <c r="BA39" i="1" s="1"/>
  <c r="AL39" i="1"/>
  <c r="AZ39" i="1" s="1"/>
  <c r="AK39" i="1"/>
  <c r="AY39" i="1" s="1"/>
  <c r="AJ39" i="1"/>
  <c r="AX39" i="1" s="1"/>
  <c r="AI39" i="1"/>
  <c r="AW39" i="1" s="1"/>
  <c r="AH39" i="1"/>
  <c r="AV39" i="1" s="1"/>
  <c r="AG39" i="1"/>
  <c r="AU39" i="1" s="1"/>
  <c r="AF39" i="1"/>
  <c r="AT39" i="1" s="1"/>
  <c r="AE39" i="1"/>
  <c r="AS39" i="1" s="1"/>
  <c r="AD39" i="1"/>
  <c r="AO23" i="1"/>
  <c r="BC23" i="1" s="1"/>
  <c r="AN23" i="1"/>
  <c r="BB23" i="1" s="1"/>
  <c r="AM23" i="1"/>
  <c r="BA23" i="1" s="1"/>
  <c r="AL23" i="1"/>
  <c r="AZ23" i="1" s="1"/>
  <c r="AK23" i="1"/>
  <c r="AY23" i="1" s="1"/>
  <c r="AJ23" i="1"/>
  <c r="AI23" i="1"/>
  <c r="AW23" i="1" s="1"/>
  <c r="AH23" i="1"/>
  <c r="AV23" i="1" s="1"/>
  <c r="AG23" i="1"/>
  <c r="AU23" i="1" s="1"/>
  <c r="AF23" i="1"/>
  <c r="AT23" i="1" s="1"/>
  <c r="AE23" i="1"/>
  <c r="AS23" i="1" s="1"/>
  <c r="AD23" i="1"/>
  <c r="AR23" i="1" s="1"/>
  <c r="AO27" i="1"/>
  <c r="BC27" i="1" s="1"/>
  <c r="AN27" i="1"/>
  <c r="AM27" i="1"/>
  <c r="BA27" i="1" s="1"/>
  <c r="AL27" i="1"/>
  <c r="AZ27" i="1" s="1"/>
  <c r="AK27" i="1"/>
  <c r="AY27" i="1" s="1"/>
  <c r="AJ27" i="1"/>
  <c r="AX27" i="1" s="1"/>
  <c r="AI27" i="1"/>
  <c r="AW27" i="1" s="1"/>
  <c r="AH27" i="1"/>
  <c r="AV27" i="1" s="1"/>
  <c r="AG27" i="1"/>
  <c r="AU27" i="1" s="1"/>
  <c r="AF27" i="1"/>
  <c r="AT27" i="1" s="1"/>
  <c r="AE27" i="1"/>
  <c r="AS27" i="1" s="1"/>
  <c r="AD27" i="1"/>
  <c r="AO35" i="1"/>
  <c r="BC35" i="1" s="1"/>
  <c r="AN35" i="1"/>
  <c r="BB35" i="1" s="1"/>
  <c r="AM35" i="1"/>
  <c r="BA35" i="1" s="1"/>
  <c r="AL35" i="1"/>
  <c r="AZ35" i="1" s="1"/>
  <c r="AK35" i="1"/>
  <c r="AY35" i="1" s="1"/>
  <c r="AJ35" i="1"/>
  <c r="AX35" i="1" s="1"/>
  <c r="AI35" i="1"/>
  <c r="AW35" i="1" s="1"/>
  <c r="AH35" i="1"/>
  <c r="AV35" i="1" s="1"/>
  <c r="AG35" i="1"/>
  <c r="AU35" i="1" s="1"/>
  <c r="AF35" i="1"/>
  <c r="AT35" i="1" s="1"/>
  <c r="AE35" i="1"/>
  <c r="AS35" i="1" s="1"/>
  <c r="AD35" i="1"/>
  <c r="AO34" i="1"/>
  <c r="BC34" i="1" s="1"/>
  <c r="AN34" i="1"/>
  <c r="BB34" i="1" s="1"/>
  <c r="AM34" i="1"/>
  <c r="BA34" i="1" s="1"/>
  <c r="AL34" i="1"/>
  <c r="AZ34" i="1" s="1"/>
  <c r="AK34" i="1"/>
  <c r="AY34" i="1" s="1"/>
  <c r="AJ34" i="1"/>
  <c r="AX34" i="1" s="1"/>
  <c r="AI34" i="1"/>
  <c r="AW34" i="1" s="1"/>
  <c r="AH34" i="1"/>
  <c r="AV34" i="1" s="1"/>
  <c r="AG34" i="1"/>
  <c r="AU34" i="1" s="1"/>
  <c r="AF34" i="1"/>
  <c r="AT34" i="1" s="1"/>
  <c r="AE34" i="1"/>
  <c r="AS34" i="1" s="1"/>
  <c r="AD34" i="1"/>
  <c r="AO24" i="1"/>
  <c r="BC24" i="1" s="1"/>
  <c r="AN24" i="1"/>
  <c r="BB24" i="1" s="1"/>
  <c r="AM24" i="1"/>
  <c r="BA24" i="1" s="1"/>
  <c r="AL24" i="1"/>
  <c r="AZ24" i="1" s="1"/>
  <c r="AK24" i="1"/>
  <c r="AY24" i="1" s="1"/>
  <c r="AJ24" i="1"/>
  <c r="AX24" i="1" s="1"/>
  <c r="AI24" i="1"/>
  <c r="AW24" i="1" s="1"/>
  <c r="AH24" i="1"/>
  <c r="AV24" i="1" s="1"/>
  <c r="AG24" i="1"/>
  <c r="AU24" i="1" s="1"/>
  <c r="AF24" i="1"/>
  <c r="AT24" i="1" s="1"/>
  <c r="AE24" i="1"/>
  <c r="AS24" i="1" s="1"/>
  <c r="AD24" i="1"/>
  <c r="AO36" i="1"/>
  <c r="BC36" i="1" s="1"/>
  <c r="AN36" i="1"/>
  <c r="BB36" i="1" s="1"/>
  <c r="AM36" i="1"/>
  <c r="BA36" i="1" s="1"/>
  <c r="AL36" i="1"/>
  <c r="AZ36" i="1" s="1"/>
  <c r="AK36" i="1"/>
  <c r="AY36" i="1" s="1"/>
  <c r="AJ36" i="1"/>
  <c r="AX36" i="1" s="1"/>
  <c r="AI36" i="1"/>
  <c r="AW36" i="1" s="1"/>
  <c r="AH36" i="1"/>
  <c r="AV36" i="1" s="1"/>
  <c r="AG36" i="1"/>
  <c r="AU36" i="1" s="1"/>
  <c r="AF36" i="1"/>
  <c r="AT36" i="1" s="1"/>
  <c r="AE36" i="1"/>
  <c r="AS36" i="1" s="1"/>
  <c r="AD36" i="1"/>
  <c r="AR36" i="1" s="1"/>
  <c r="AO16" i="1"/>
  <c r="BC16" i="1" s="1"/>
  <c r="AN16" i="1"/>
  <c r="BB16" i="1" s="1"/>
  <c r="AM16" i="1"/>
  <c r="BA16" i="1" s="1"/>
  <c r="AL16" i="1"/>
  <c r="AZ16" i="1" s="1"/>
  <c r="AK16" i="1"/>
  <c r="AY16" i="1" s="1"/>
  <c r="AJ16" i="1"/>
  <c r="AX16" i="1" s="1"/>
  <c r="AI16" i="1"/>
  <c r="AW16" i="1" s="1"/>
  <c r="AH16" i="1"/>
  <c r="AV16" i="1" s="1"/>
  <c r="AG16" i="1"/>
  <c r="AU16" i="1" s="1"/>
  <c r="AF16" i="1"/>
  <c r="AT16" i="1" s="1"/>
  <c r="AE16" i="1"/>
  <c r="AS16" i="1" s="1"/>
  <c r="AD16" i="1"/>
  <c r="AR16" i="1" s="1"/>
  <c r="AO19" i="1"/>
  <c r="AN19" i="1"/>
  <c r="AM19" i="1"/>
  <c r="AL19" i="1"/>
  <c r="AK19" i="1"/>
  <c r="AJ19" i="1"/>
  <c r="AI19" i="1"/>
  <c r="AH19" i="1"/>
  <c r="AG19" i="1"/>
  <c r="AF19" i="1"/>
  <c r="AE19" i="1"/>
  <c r="AD19" i="1"/>
  <c r="AO18" i="1"/>
  <c r="AN18" i="1"/>
  <c r="AM18" i="1"/>
  <c r="AL18" i="1"/>
  <c r="AK18" i="1"/>
  <c r="AJ18" i="1"/>
  <c r="AI18" i="1"/>
  <c r="AH18" i="1"/>
  <c r="AG18" i="1"/>
  <c r="AF18" i="1"/>
  <c r="AE18" i="1"/>
  <c r="AO17" i="1"/>
  <c r="BC17" i="1" s="1"/>
  <c r="AN17" i="1"/>
  <c r="BB17" i="1" s="1"/>
  <c r="AM17" i="1"/>
  <c r="BA17" i="1" s="1"/>
  <c r="AL17" i="1"/>
  <c r="AZ17" i="1" s="1"/>
  <c r="AK17" i="1"/>
  <c r="AY17" i="1" s="1"/>
  <c r="AJ17" i="1"/>
  <c r="AX17" i="1" s="1"/>
  <c r="AI17" i="1"/>
  <c r="AW17" i="1" s="1"/>
  <c r="AH17" i="1"/>
  <c r="AV17" i="1" s="1"/>
  <c r="AG17" i="1"/>
  <c r="AU17" i="1" s="1"/>
  <c r="AF17" i="1"/>
  <c r="AT17" i="1" s="1"/>
  <c r="AE17" i="1"/>
  <c r="AS17" i="1" s="1"/>
  <c r="AD17" i="1"/>
  <c r="AR17" i="1" s="1"/>
  <c r="AO26" i="1"/>
  <c r="BC26" i="1" s="1"/>
  <c r="AN26" i="1"/>
  <c r="BB26" i="1" s="1"/>
  <c r="AM26" i="1"/>
  <c r="BA26" i="1" s="1"/>
  <c r="AL26" i="1"/>
  <c r="AZ26" i="1" s="1"/>
  <c r="AK26" i="1"/>
  <c r="AY26" i="1" s="1"/>
  <c r="AJ26" i="1"/>
  <c r="AX26" i="1" s="1"/>
  <c r="AI26" i="1"/>
  <c r="AW26" i="1" s="1"/>
  <c r="AH26" i="1"/>
  <c r="AV26" i="1" s="1"/>
  <c r="AG26" i="1"/>
  <c r="AU26" i="1" s="1"/>
  <c r="AF26" i="1"/>
  <c r="AT26" i="1" s="1"/>
  <c r="AE26" i="1"/>
  <c r="AS26" i="1" s="1"/>
  <c r="AD26" i="1"/>
  <c r="AR26" i="1" s="1"/>
  <c r="AO30" i="1"/>
  <c r="BC30" i="1" s="1"/>
  <c r="AN30" i="1"/>
  <c r="BB30" i="1" s="1"/>
  <c r="AM30" i="1"/>
  <c r="BA30" i="1" s="1"/>
  <c r="AL30" i="1"/>
  <c r="AZ30" i="1" s="1"/>
  <c r="AK30" i="1"/>
  <c r="AY30" i="1" s="1"/>
  <c r="AJ30" i="1"/>
  <c r="AX30" i="1" s="1"/>
  <c r="AI30" i="1"/>
  <c r="AW30" i="1" s="1"/>
  <c r="AH30" i="1"/>
  <c r="AV30" i="1" s="1"/>
  <c r="AG30" i="1"/>
  <c r="AU30" i="1" s="1"/>
  <c r="AF30" i="1"/>
  <c r="AT30" i="1" s="1"/>
  <c r="AE30" i="1"/>
  <c r="AS30" i="1" s="1"/>
  <c r="AD30" i="1"/>
  <c r="AR30" i="1" s="1"/>
  <c r="AO28" i="1"/>
  <c r="BC28" i="1" s="1"/>
  <c r="AN28" i="1"/>
  <c r="BB28" i="1" s="1"/>
  <c r="AM28" i="1"/>
  <c r="BA28" i="1" s="1"/>
  <c r="AL28" i="1"/>
  <c r="AZ28" i="1" s="1"/>
  <c r="AK28" i="1"/>
  <c r="AY28" i="1" s="1"/>
  <c r="AJ28" i="1"/>
  <c r="AX28" i="1" s="1"/>
  <c r="AI28" i="1"/>
  <c r="AW28" i="1" s="1"/>
  <c r="AH28" i="1"/>
  <c r="AV28" i="1" s="1"/>
  <c r="AG28" i="1"/>
  <c r="AU28" i="1" s="1"/>
  <c r="AF28" i="1"/>
  <c r="AT28" i="1" s="1"/>
  <c r="AE28" i="1"/>
  <c r="AS28" i="1" s="1"/>
  <c r="AD28" i="1"/>
  <c r="AO37" i="1"/>
  <c r="AN37" i="1"/>
  <c r="AM37" i="1"/>
  <c r="AL37" i="1"/>
  <c r="AK37" i="1"/>
  <c r="AJ37" i="1"/>
  <c r="AI37" i="1"/>
  <c r="AH37" i="1"/>
  <c r="AV37" i="1" s="1"/>
  <c r="AG37" i="1"/>
  <c r="AU37" i="1" s="1"/>
  <c r="AF37" i="1"/>
  <c r="AE37" i="1"/>
  <c r="AD37" i="1"/>
  <c r="AO38" i="1"/>
  <c r="BC38" i="1" s="1"/>
  <c r="AN38" i="1"/>
  <c r="BB38" i="1" s="1"/>
  <c r="AM38" i="1"/>
  <c r="BA38" i="1" s="1"/>
  <c r="AL38" i="1"/>
  <c r="AZ38" i="1" s="1"/>
  <c r="AK38" i="1"/>
  <c r="AY38" i="1" s="1"/>
  <c r="AJ38" i="1"/>
  <c r="AX38" i="1" s="1"/>
  <c r="AI38" i="1"/>
  <c r="AW38" i="1" s="1"/>
  <c r="AH38" i="1"/>
  <c r="AV38" i="1" s="1"/>
  <c r="AG38" i="1"/>
  <c r="AU38" i="1" s="1"/>
  <c r="AF38" i="1"/>
  <c r="AT38" i="1" s="1"/>
  <c r="AE38" i="1"/>
  <c r="AS38" i="1" s="1"/>
  <c r="AD38" i="1"/>
  <c r="AR38" i="1" s="1"/>
  <c r="AO31" i="1"/>
  <c r="BC31" i="1" s="1"/>
  <c r="AN31" i="1"/>
  <c r="BB31" i="1" s="1"/>
  <c r="AM31" i="1"/>
  <c r="BA31" i="1" s="1"/>
  <c r="AL31" i="1"/>
  <c r="AZ31" i="1" s="1"/>
  <c r="AK31" i="1"/>
  <c r="AY31" i="1" s="1"/>
  <c r="AJ31" i="1"/>
  <c r="AX31" i="1" s="1"/>
  <c r="AI31" i="1"/>
  <c r="AW31" i="1" s="1"/>
  <c r="AH31" i="1"/>
  <c r="AV31" i="1" s="1"/>
  <c r="AG31" i="1"/>
  <c r="AU31" i="1" s="1"/>
  <c r="AF31" i="1"/>
  <c r="AT31" i="1" s="1"/>
  <c r="AE31" i="1"/>
  <c r="AS31" i="1" s="1"/>
  <c r="AD31" i="1"/>
  <c r="AO29" i="1"/>
  <c r="BC29" i="1" s="1"/>
  <c r="AN29" i="1"/>
  <c r="BB29" i="1" s="1"/>
  <c r="AM29" i="1"/>
  <c r="BA29" i="1" s="1"/>
  <c r="AL29" i="1"/>
  <c r="AZ29" i="1" s="1"/>
  <c r="AK29" i="1"/>
  <c r="AY29" i="1" s="1"/>
  <c r="AJ29" i="1"/>
  <c r="AX29" i="1" s="1"/>
  <c r="AI29" i="1"/>
  <c r="AW29" i="1" s="1"/>
  <c r="AH29" i="1"/>
  <c r="AV29" i="1" s="1"/>
  <c r="AG29" i="1"/>
  <c r="AU29" i="1" s="1"/>
  <c r="AF29" i="1"/>
  <c r="AE29" i="1"/>
  <c r="AS29" i="1" s="1"/>
  <c r="AD29" i="1"/>
  <c r="AR29" i="1" s="1"/>
  <c r="AO7" i="1"/>
  <c r="BC7" i="1" s="1"/>
  <c r="AN7" i="1"/>
  <c r="BB7" i="1" s="1"/>
  <c r="AM7" i="1"/>
  <c r="BA7" i="1" s="1"/>
  <c r="AL7" i="1"/>
  <c r="AZ7" i="1" s="1"/>
  <c r="AK7" i="1"/>
  <c r="AY7" i="1" s="1"/>
  <c r="AJ7" i="1"/>
  <c r="AX7" i="1" s="1"/>
  <c r="AI7" i="1"/>
  <c r="AW7" i="1" s="1"/>
  <c r="AH7" i="1"/>
  <c r="AV7" i="1" s="1"/>
  <c r="AG7" i="1"/>
  <c r="AU7" i="1" s="1"/>
  <c r="AF7" i="1"/>
  <c r="AT7" i="1" s="1"/>
  <c r="AE7" i="1"/>
  <c r="AS7" i="1" s="1"/>
  <c r="AD7" i="1"/>
  <c r="AO14" i="1"/>
  <c r="BC14" i="1" s="1"/>
  <c r="AN14" i="1"/>
  <c r="BB14" i="1" s="1"/>
  <c r="AM14" i="1"/>
  <c r="BA14" i="1" s="1"/>
  <c r="AL14" i="1"/>
  <c r="AZ14" i="1" s="1"/>
  <c r="AK14" i="1"/>
  <c r="AY14" i="1" s="1"/>
  <c r="AJ14" i="1"/>
  <c r="AX14" i="1" s="1"/>
  <c r="AI14" i="1"/>
  <c r="AW14" i="1" s="1"/>
  <c r="AH14" i="1"/>
  <c r="AV14" i="1" s="1"/>
  <c r="AG14" i="1"/>
  <c r="AU14" i="1" s="1"/>
  <c r="AF14" i="1"/>
  <c r="AT14" i="1" s="1"/>
  <c r="AE14" i="1"/>
  <c r="AS14" i="1" s="1"/>
  <c r="AD14" i="1"/>
  <c r="AR14" i="1" s="1"/>
  <c r="AO6" i="1"/>
  <c r="BC6" i="1" s="1"/>
  <c r="AN6" i="1"/>
  <c r="BB6" i="1" s="1"/>
  <c r="AM6" i="1"/>
  <c r="BA6" i="1" s="1"/>
  <c r="AL6" i="1"/>
  <c r="AZ6" i="1" s="1"/>
  <c r="AK6" i="1"/>
  <c r="AY6" i="1" s="1"/>
  <c r="AJ6" i="1"/>
  <c r="AX6" i="1" s="1"/>
  <c r="AI6" i="1"/>
  <c r="AW6" i="1" s="1"/>
  <c r="AH6" i="1"/>
  <c r="AV6" i="1" s="1"/>
  <c r="AG6" i="1"/>
  <c r="AU6" i="1" s="1"/>
  <c r="AF6" i="1"/>
  <c r="AT6" i="1" s="1"/>
  <c r="AE6" i="1"/>
  <c r="AS6" i="1" s="1"/>
  <c r="AD6" i="1"/>
  <c r="AR6" i="1" s="1"/>
  <c r="AO5" i="1"/>
  <c r="BC5" i="1" s="1"/>
  <c r="AN5" i="1"/>
  <c r="BB5" i="1" s="1"/>
  <c r="AM5" i="1"/>
  <c r="BA5" i="1" s="1"/>
  <c r="AL5" i="1"/>
  <c r="AZ5" i="1" s="1"/>
  <c r="AK5" i="1"/>
  <c r="AY5" i="1" s="1"/>
  <c r="AJ5" i="1"/>
  <c r="AX5" i="1" s="1"/>
  <c r="AI5" i="1"/>
  <c r="AW5" i="1" s="1"/>
  <c r="AH5" i="1"/>
  <c r="AV5" i="1" s="1"/>
  <c r="AG5" i="1"/>
  <c r="AU5" i="1" s="1"/>
  <c r="AF5" i="1"/>
  <c r="AT5" i="1" s="1"/>
  <c r="AE5" i="1"/>
  <c r="AS5" i="1" s="1"/>
  <c r="AD5" i="1"/>
  <c r="AR5" i="1" s="1"/>
  <c r="AO4" i="1"/>
  <c r="BC4" i="1" s="1"/>
  <c r="AN4" i="1"/>
  <c r="BB4" i="1" s="1"/>
  <c r="AM4" i="1"/>
  <c r="BA4" i="1" s="1"/>
  <c r="AL4" i="1"/>
  <c r="AZ4" i="1" s="1"/>
  <c r="AK4" i="1"/>
  <c r="AY4" i="1" s="1"/>
  <c r="AJ4" i="1"/>
  <c r="AX4" i="1" s="1"/>
  <c r="AI4" i="1"/>
  <c r="AW4" i="1" s="1"/>
  <c r="AH4" i="1"/>
  <c r="AV4" i="1" s="1"/>
  <c r="AG4" i="1"/>
  <c r="AU4" i="1" s="1"/>
  <c r="AF4" i="1"/>
  <c r="AT4" i="1" s="1"/>
  <c r="AE4" i="1"/>
  <c r="AS4" i="1" s="1"/>
  <c r="AO21" i="1"/>
  <c r="BC21" i="1" s="1"/>
  <c r="AN21" i="1"/>
  <c r="BB21" i="1" s="1"/>
  <c r="AM21" i="1"/>
  <c r="BA21" i="1" s="1"/>
  <c r="AL21" i="1"/>
  <c r="AZ21" i="1" s="1"/>
  <c r="AK21" i="1"/>
  <c r="AY21" i="1" s="1"/>
  <c r="AJ21" i="1"/>
  <c r="AX21" i="1" s="1"/>
  <c r="AI21" i="1"/>
  <c r="AW21" i="1" s="1"/>
  <c r="AH21" i="1"/>
  <c r="AV21" i="1" s="1"/>
  <c r="AG21" i="1"/>
  <c r="AU21" i="1" s="1"/>
  <c r="AF21" i="1"/>
  <c r="AT21" i="1" s="1"/>
  <c r="AE21" i="1"/>
  <c r="AS21" i="1" s="1"/>
  <c r="AD21" i="1"/>
  <c r="AO40" i="1"/>
  <c r="BC40" i="1" s="1"/>
  <c r="AN40" i="1"/>
  <c r="BB40" i="1" s="1"/>
  <c r="AM40" i="1"/>
  <c r="BA40" i="1" s="1"/>
  <c r="AL40" i="1"/>
  <c r="AZ40" i="1" s="1"/>
  <c r="AK40" i="1"/>
  <c r="AY40" i="1" s="1"/>
  <c r="AJ40" i="1"/>
  <c r="AX40" i="1" s="1"/>
  <c r="AI40" i="1"/>
  <c r="AW40" i="1" s="1"/>
  <c r="AH40" i="1"/>
  <c r="AV40" i="1" s="1"/>
  <c r="AG40" i="1"/>
  <c r="AU40" i="1" s="1"/>
  <c r="AF40" i="1"/>
  <c r="AT40" i="1" s="1"/>
  <c r="AE40" i="1"/>
  <c r="AS40" i="1" s="1"/>
  <c r="AD40" i="1"/>
  <c r="AD25" i="1"/>
  <c r="AR25" i="1" s="1"/>
  <c r="AB71" i="1"/>
  <c r="AV71" i="1"/>
  <c r="AX71" i="1"/>
  <c r="AB72" i="1"/>
  <c r="AB73" i="1"/>
  <c r="AT73" i="1"/>
  <c r="AU73" i="1"/>
  <c r="AB74" i="1"/>
  <c r="AB75" i="1"/>
  <c r="AB76" i="1"/>
  <c r="AB62" i="1"/>
  <c r="AB63" i="1"/>
  <c r="AB64" i="1"/>
  <c r="AB65" i="1"/>
  <c r="AB66" i="1"/>
  <c r="AX66" i="1"/>
  <c r="AB67" i="1"/>
  <c r="AB68" i="1"/>
  <c r="AB69" i="1"/>
  <c r="AB70" i="1"/>
  <c r="AB54" i="1"/>
  <c r="AB55" i="1"/>
  <c r="AU53" i="1"/>
  <c r="AB56" i="1"/>
  <c r="BB54" i="1"/>
  <c r="AB42" i="1"/>
  <c r="AB58" i="1"/>
  <c r="AB59" i="1"/>
  <c r="AB23" i="1"/>
  <c r="AT58" i="1"/>
  <c r="AB60" i="1"/>
  <c r="BC59" i="1"/>
  <c r="AB43" i="1"/>
  <c r="AB24" i="1"/>
  <c r="AB9" i="1"/>
  <c r="AB10" i="1"/>
  <c r="AB11" i="1"/>
  <c r="AB27" i="1"/>
  <c r="BC22" i="1"/>
  <c r="AB45" i="1"/>
  <c r="AB46" i="1"/>
  <c r="AB25" i="1"/>
  <c r="AB12" i="1"/>
  <c r="AB13" i="1"/>
  <c r="AB15" i="1"/>
  <c r="AB20" i="1"/>
  <c r="AB21" i="1"/>
  <c r="AB49" i="1"/>
  <c r="AB35" i="1"/>
  <c r="AB40" i="1"/>
  <c r="AB53" i="1"/>
  <c r="AB39" i="1"/>
  <c r="AB30" i="1"/>
  <c r="AB31" i="1"/>
  <c r="BC49" i="1"/>
  <c r="AB34" i="1"/>
  <c r="AB22" i="1"/>
  <c r="AB51" i="1"/>
  <c r="AE25" i="1"/>
  <c r="AS25" i="1" s="1"/>
  <c r="AF25" i="1"/>
  <c r="AT25" i="1" s="1"/>
  <c r="AG25" i="1"/>
  <c r="AU25" i="1" s="1"/>
  <c r="AH25" i="1"/>
  <c r="AI25" i="1"/>
  <c r="AW25" i="1" s="1"/>
  <c r="AJ25" i="1"/>
  <c r="AX25" i="1" s="1"/>
  <c r="AK25" i="1"/>
  <c r="AY25" i="1" s="1"/>
  <c r="AL25" i="1"/>
  <c r="AZ25" i="1" s="1"/>
  <c r="AM25" i="1"/>
  <c r="BA25" i="1" s="1"/>
  <c r="AN25" i="1"/>
  <c r="BB25" i="1" s="1"/>
  <c r="AO25" i="1"/>
  <c r="BC25" i="1" s="1"/>
  <c r="AB8" i="1"/>
  <c r="AB57" i="1"/>
  <c r="AB28" i="1"/>
  <c r="AB36" i="1"/>
  <c r="AB48" i="1"/>
  <c r="AB47" i="1"/>
  <c r="AB29" i="1"/>
  <c r="AB50" i="1"/>
  <c r="AB16" i="1"/>
  <c r="AB17" i="1"/>
  <c r="AB33" i="1"/>
  <c r="AB41" i="1"/>
  <c r="AB37" i="1"/>
  <c r="AB52" i="1"/>
  <c r="AB44" i="1"/>
  <c r="AB38" i="1"/>
  <c r="AB7" i="1"/>
  <c r="AB14" i="1"/>
  <c r="AB6" i="1"/>
  <c r="AB5" i="1"/>
  <c r="AB4" i="1"/>
  <c r="AB26" i="1"/>
  <c r="AB61" i="1"/>
  <c r="AB32" i="1"/>
  <c r="AP77" i="1" l="1"/>
  <c r="BQ93" i="1"/>
  <c r="BQ92" i="1"/>
  <c r="BQ91" i="1"/>
  <c r="BQ90" i="1"/>
  <c r="BQ89" i="1"/>
  <c r="BQ88" i="1"/>
  <c r="BQ95" i="1"/>
  <c r="BQ94" i="1"/>
  <c r="BQ82" i="1"/>
  <c r="BQ98" i="1"/>
  <c r="BQ77" i="1"/>
  <c r="AR77" i="1"/>
  <c r="AP88" i="1"/>
  <c r="AR88" i="1"/>
  <c r="AP89" i="1"/>
  <c r="BQ96" i="1"/>
  <c r="BQ83" i="1"/>
  <c r="BQ80" i="1"/>
  <c r="AR89" i="1"/>
  <c r="BQ78" i="1"/>
  <c r="BQ97" i="1"/>
  <c r="AP78" i="1"/>
  <c r="BQ81" i="1"/>
  <c r="BQ79" i="1"/>
  <c r="T2" i="1"/>
  <c r="AH11" i="1"/>
  <c r="AV11" i="1" s="1"/>
  <c r="BQ87" i="1"/>
  <c r="BQ86" i="1"/>
  <c r="AP86" i="1"/>
  <c r="BQ85" i="1"/>
  <c r="AP85" i="1"/>
  <c r="BQ84" i="1"/>
  <c r="AP84" i="1"/>
  <c r="AP83" i="1"/>
  <c r="AP82" i="1"/>
  <c r="AP81" i="1"/>
  <c r="AP80" i="1"/>
  <c r="AP79" i="1"/>
  <c r="AP93" i="1"/>
  <c r="AP92" i="1"/>
  <c r="AP91" i="1"/>
  <c r="AP90" i="1"/>
  <c r="BQ100" i="1"/>
  <c r="AP100" i="1"/>
  <c r="BQ99" i="1"/>
  <c r="AP99" i="1"/>
  <c r="AP98" i="1"/>
  <c r="AP95" i="1"/>
  <c r="AP94" i="1"/>
  <c r="AR98" i="1"/>
  <c r="AP97" i="1"/>
  <c r="AR99" i="1"/>
  <c r="AP96" i="1"/>
  <c r="AR100" i="1"/>
  <c r="AR90" i="1"/>
  <c r="AR91" i="1"/>
  <c r="AR92" i="1"/>
  <c r="AR93" i="1"/>
  <c r="AR80" i="1"/>
  <c r="AR81" i="1"/>
  <c r="AR82" i="1"/>
  <c r="AR83" i="1"/>
  <c r="AR84" i="1"/>
  <c r="AR79" i="1"/>
  <c r="AR85" i="1"/>
  <c r="AR86" i="1"/>
  <c r="AP87" i="1"/>
  <c r="BQ48" i="1"/>
  <c r="AB2" i="1"/>
  <c r="AP19" i="1"/>
  <c r="BQ71" i="1"/>
  <c r="AP18" i="1"/>
  <c r="BQ51" i="1"/>
  <c r="BQ49" i="1"/>
  <c r="AP23" i="1"/>
  <c r="AP21" i="1"/>
  <c r="BQ7" i="1"/>
  <c r="BQ12" i="1"/>
  <c r="BQ17" i="1"/>
  <c r="BQ22" i="1"/>
  <c r="BQ37" i="1"/>
  <c r="BQ40" i="1"/>
  <c r="BQ60" i="1"/>
  <c r="BQ62" i="1"/>
  <c r="AP20" i="1"/>
  <c r="BQ34" i="1"/>
  <c r="BQ39" i="1"/>
  <c r="BQ54" i="1"/>
  <c r="BQ59" i="1"/>
  <c r="BQ64" i="1"/>
  <c r="BQ69" i="1"/>
  <c r="BQ74" i="1"/>
  <c r="AP22" i="1"/>
  <c r="BQ4" i="1"/>
  <c r="BQ24" i="1"/>
  <c r="AP24" i="1"/>
  <c r="BQ21" i="1"/>
  <c r="BQ36" i="1"/>
  <c r="BQ41" i="1"/>
  <c r="BQ46" i="1"/>
  <c r="BQ56" i="1"/>
  <c r="BQ61" i="1"/>
  <c r="BQ66" i="1"/>
  <c r="BQ76" i="1"/>
  <c r="AP26" i="1"/>
  <c r="AP25" i="1"/>
  <c r="BQ29" i="1"/>
  <c r="BQ31" i="1"/>
  <c r="BQ44" i="1"/>
  <c r="BQ42" i="1"/>
  <c r="BQ15" i="1"/>
  <c r="BQ14" i="1"/>
  <c r="BQ16" i="1"/>
  <c r="BQ28" i="1"/>
  <c r="BQ26" i="1"/>
  <c r="BQ75" i="1"/>
  <c r="BQ25" i="1"/>
  <c r="BQ32" i="1"/>
  <c r="BQ35" i="1"/>
  <c r="BQ45" i="1"/>
  <c r="BQ47" i="1"/>
  <c r="BQ52" i="1"/>
  <c r="BQ53" i="1"/>
  <c r="BQ55" i="1"/>
  <c r="BQ65" i="1"/>
  <c r="BQ67" i="1"/>
  <c r="BQ68" i="1"/>
  <c r="BQ70" i="1"/>
  <c r="BQ73" i="1"/>
  <c r="BM2" i="1"/>
  <c r="BI2" i="1"/>
  <c r="BJ2" i="1"/>
  <c r="BQ6" i="1"/>
  <c r="BQ23" i="1"/>
  <c r="BQ38" i="1"/>
  <c r="BQ43" i="1"/>
  <c r="BQ58" i="1"/>
  <c r="BQ63" i="1"/>
  <c r="BK2" i="1"/>
  <c r="BL2" i="1"/>
  <c r="BQ27" i="1"/>
  <c r="BQ30" i="1"/>
  <c r="BQ33" i="1"/>
  <c r="BQ50" i="1"/>
  <c r="BQ57" i="1"/>
  <c r="BQ72" i="1"/>
  <c r="BQ8" i="1"/>
  <c r="BQ11" i="1"/>
  <c r="BQ5" i="1"/>
  <c r="BQ10" i="1"/>
  <c r="BN2" i="1"/>
  <c r="BG2" i="1"/>
  <c r="BO2" i="1"/>
  <c r="BQ9" i="1"/>
  <c r="BQ13" i="1"/>
  <c r="BF2" i="1"/>
  <c r="BQ20" i="1"/>
  <c r="BH2" i="1"/>
  <c r="BP2" i="1"/>
  <c r="BE2" i="1"/>
  <c r="AP71" i="1"/>
  <c r="AN2" i="1"/>
  <c r="AD2" i="1"/>
  <c r="BB27" i="1"/>
  <c r="AM2" i="1"/>
  <c r="AK2" i="1"/>
  <c r="AL2" i="1"/>
  <c r="AE2" i="1"/>
  <c r="AF2" i="1"/>
  <c r="AG2" i="1"/>
  <c r="AH2" i="1"/>
  <c r="AI2" i="1"/>
  <c r="AJ2" i="1"/>
  <c r="AO2" i="1"/>
  <c r="AR71" i="1"/>
  <c r="AP62" i="1"/>
  <c r="AP54" i="1"/>
  <c r="AP53" i="1"/>
  <c r="AP55" i="1"/>
  <c r="AR62" i="1"/>
  <c r="AP63" i="1"/>
  <c r="AP52" i="1"/>
  <c r="AP49" i="1"/>
  <c r="AP72" i="1"/>
  <c r="AP46" i="1"/>
  <c r="AP50" i="1"/>
  <c r="AP42" i="1"/>
  <c r="AP59" i="1"/>
  <c r="AP64" i="1"/>
  <c r="AR50" i="1"/>
  <c r="AP48" i="1"/>
  <c r="AP9" i="1"/>
  <c r="AP45" i="1"/>
  <c r="AP56" i="1"/>
  <c r="AR54" i="1"/>
  <c r="AP15" i="1"/>
  <c r="AP68" i="1"/>
  <c r="AP32" i="1"/>
  <c r="AP44" i="1"/>
  <c r="AP60" i="1"/>
  <c r="AR63" i="1"/>
  <c r="AP65" i="1"/>
  <c r="AP41" i="1"/>
  <c r="AP69" i="1"/>
  <c r="AP70" i="1"/>
  <c r="AR72" i="1"/>
  <c r="AR55" i="1"/>
  <c r="AP51" i="1"/>
  <c r="AT52" i="1"/>
  <c r="AR49" i="1"/>
  <c r="AP61" i="1"/>
  <c r="AP43" i="1"/>
  <c r="AP10" i="1"/>
  <c r="AR56" i="1"/>
  <c r="AP75" i="1"/>
  <c r="AP13" i="1"/>
  <c r="AP33" i="1"/>
  <c r="AP57" i="1"/>
  <c r="AP66" i="1"/>
  <c r="AP67" i="1"/>
  <c r="AP74" i="1"/>
  <c r="AP73" i="1"/>
  <c r="AP76" i="1"/>
  <c r="AR64" i="1"/>
  <c r="AR65" i="1"/>
  <c r="AR66" i="1"/>
  <c r="AR68" i="1"/>
  <c r="AR69" i="1"/>
  <c r="AR67" i="1"/>
  <c r="AR70" i="1"/>
  <c r="AR57" i="1"/>
  <c r="AR59" i="1"/>
  <c r="AR60" i="1"/>
  <c r="AR61" i="1"/>
  <c r="AP58" i="1"/>
  <c r="AP47" i="1"/>
  <c r="AR13" i="1"/>
  <c r="AP12" i="1"/>
  <c r="AR15" i="1"/>
  <c r="AR41" i="1"/>
  <c r="AR42" i="1"/>
  <c r="AR22" i="1"/>
  <c r="AR43" i="1"/>
  <c r="AR44" i="1"/>
  <c r="AS32" i="1"/>
  <c r="AR33" i="1"/>
  <c r="AP17" i="1"/>
  <c r="AP34" i="1"/>
  <c r="AP28" i="1"/>
  <c r="AP36" i="1"/>
  <c r="AP35" i="1"/>
  <c r="AR35" i="1"/>
  <c r="AR39" i="1"/>
  <c r="AP39" i="1"/>
  <c r="AP29" i="1"/>
  <c r="AT29" i="1"/>
  <c r="AP6" i="1"/>
  <c r="AP31" i="1"/>
  <c r="AX23" i="1"/>
  <c r="AP27" i="1"/>
  <c r="AR24" i="1"/>
  <c r="AP30" i="1"/>
  <c r="AP8" i="1"/>
  <c r="AR27" i="1"/>
  <c r="AP16" i="1"/>
  <c r="AR34" i="1"/>
  <c r="AP38" i="1"/>
  <c r="AR28" i="1"/>
  <c r="AR31" i="1"/>
  <c r="AP7" i="1"/>
  <c r="AR7" i="1"/>
  <c r="AP5" i="1"/>
  <c r="AP14" i="1"/>
  <c r="AP4" i="1"/>
  <c r="AR21" i="1"/>
  <c r="AP40" i="1"/>
  <c r="AR40" i="1"/>
  <c r="AV25" i="1"/>
  <c r="AP11" i="1" l="1"/>
  <c r="AP2" i="1" s="1"/>
  <c r="BQ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tc={5F3741FD-F61E-4D7C-870F-D8B042DC91C8}</author>
  </authors>
  <commentList>
    <comment ref="H3" authorId="0" shapeId="0" xr:uid="{5F3741FD-F61E-4D7C-870F-D8B042DC91C8}">
      <text>
        <t>[Threaded comment]
Your version of Excel allows you to read this threaded comment; however, any edits to it will get removed if the file is opened in a newer version of Excel. Learn more: https://go.microsoft.com/fwlink/?linkid=870924
Comment:
    Firm(win)/Namelily 獲得済/見込み</t>
      </text>
    </comment>
  </commentList>
</comments>
</file>

<file path=xl/sharedStrings.xml><?xml version="1.0" encoding="utf-8"?>
<sst xmlns="http://schemas.openxmlformats.org/spreadsheetml/2006/main" count="476" uniqueCount="170">
  <si>
    <t>顧客別売上</t>
    <rPh sb="0" eb="3">
      <t>コキャクベツ</t>
    </rPh>
    <rPh sb="3" eb="5">
      <t>バイア</t>
    </rPh>
    <phoneticPr fontId="2"/>
  </si>
  <si>
    <t>PM</t>
    <phoneticPr fontId="2"/>
  </si>
  <si>
    <t>コンサルタント件数</t>
    <rPh sb="7" eb="9">
      <t>ケンスウ</t>
    </rPh>
    <phoneticPr fontId="2"/>
  </si>
  <si>
    <t>行ラベル</t>
  </si>
  <si>
    <t>合計 / Total</t>
  </si>
  <si>
    <t>個数 / ID</t>
  </si>
  <si>
    <t>PM</t>
  </si>
  <si>
    <t>コンサルタント1</t>
  </si>
  <si>
    <t>出光興産株式会社</t>
  </si>
  <si>
    <t>Ito</t>
  </si>
  <si>
    <t>Watanabe</t>
  </si>
  <si>
    <t>株式会社SPINDLE</t>
  </si>
  <si>
    <t>Takimiya</t>
  </si>
  <si>
    <t>株式会社セイワ</t>
  </si>
  <si>
    <t>Yasuda</t>
  </si>
  <si>
    <t>コズコム</t>
  </si>
  <si>
    <t>エーアンドエーマテリアル株式会社</t>
  </si>
  <si>
    <t>宍戸</t>
  </si>
  <si>
    <t>ラインロジスティクス株式会社</t>
  </si>
  <si>
    <t>総計</t>
  </si>
  <si>
    <t>株式会社AISIN</t>
  </si>
  <si>
    <t>斎間</t>
  </si>
  <si>
    <t>株式会社武居商店</t>
  </si>
  <si>
    <t>Cozcom</t>
  </si>
  <si>
    <t>メジャークラフト株式会社</t>
  </si>
  <si>
    <t>佐野</t>
  </si>
  <si>
    <t>星光産業株式会社</t>
  </si>
  <si>
    <t>(空白)</t>
  </si>
  <si>
    <t>株式会社プレブ</t>
  </si>
  <si>
    <t>Ota</t>
  </si>
  <si>
    <t>北海道乳業株式会社</t>
  </si>
  <si>
    <t>Yauda</t>
  </si>
  <si>
    <t>株式会社EN</t>
  </si>
  <si>
    <t>ディーエヌ株式会社</t>
  </si>
  <si>
    <t>タブコード</t>
  </si>
  <si>
    <t>有限会社大桜</t>
  </si>
  <si>
    <t>太田</t>
  </si>
  <si>
    <t>株式会社葉山ガーデン</t>
  </si>
  <si>
    <t>ゴードンミラー株式会社</t>
  </si>
  <si>
    <t>公益財団法人どうぶつ基金</t>
  </si>
  <si>
    <t>インターグ株式会社</t>
  </si>
  <si>
    <t>株式会社プリンタス</t>
  </si>
  <si>
    <t>株式会社上野製作所</t>
  </si>
  <si>
    <t>Luca</t>
  </si>
  <si>
    <t>株式会社ふじいろ</t>
  </si>
  <si>
    <t>武井商店株式会社</t>
  </si>
  <si>
    <t>伊藤万</t>
  </si>
  <si>
    <t>金鶴食品株式会社</t>
  </si>
  <si>
    <t>Revenue</t>
    <phoneticPr fontId="2"/>
  </si>
  <si>
    <t>Contribution Margin</t>
    <phoneticPr fontId="2"/>
  </si>
  <si>
    <t>Revenue Plan （予測売上×勝率）</t>
    <rPh sb="14" eb="16">
      <t>ヨソク</t>
    </rPh>
    <rPh sb="16" eb="18">
      <t>ウリアゲ</t>
    </rPh>
    <rPh sb="19" eb="21">
      <t>ショウリツ</t>
    </rPh>
    <phoneticPr fontId="2"/>
  </si>
  <si>
    <t>社員は英語、外注は日本語</t>
    <rPh sb="0" eb="2">
      <t>シャイン</t>
    </rPh>
    <rPh sb="3" eb="5">
      <t>エイゴ</t>
    </rPh>
    <rPh sb="6" eb="8">
      <t>ガイチュウ</t>
    </rPh>
    <rPh sb="9" eb="12">
      <t>ニホンゴ</t>
    </rPh>
    <phoneticPr fontId="2"/>
  </si>
  <si>
    <t>ID</t>
    <phoneticPr fontId="2"/>
  </si>
  <si>
    <t>新/既</t>
    <rPh sb="0" eb="1">
      <t>シン</t>
    </rPh>
    <rPh sb="2" eb="3">
      <t>キ</t>
    </rPh>
    <phoneticPr fontId="2"/>
  </si>
  <si>
    <t>Client name(顧客名）</t>
    <rPh sb="12" eb="15">
      <t>コキャクメイ</t>
    </rPh>
    <phoneticPr fontId="2"/>
  </si>
  <si>
    <t>紹介先</t>
    <rPh sb="0" eb="2">
      <t>ショウカイ</t>
    </rPh>
    <rPh sb="2" eb="3">
      <t>サキ</t>
    </rPh>
    <phoneticPr fontId="2"/>
  </si>
  <si>
    <t>opportunity name(案件名）</t>
    <rPh sb="17" eb="20">
      <t>アンケンメイ</t>
    </rPh>
    <phoneticPr fontId="2"/>
  </si>
  <si>
    <t>Subopty</t>
    <phoneticPr fontId="2"/>
  </si>
  <si>
    <t>状況</t>
  </si>
  <si>
    <t>Probability(勝率）</t>
    <rPh sb="12" eb="14">
      <t>ショウリツ</t>
    </rPh>
    <phoneticPr fontId="2"/>
  </si>
  <si>
    <t>Sold CM%</t>
    <phoneticPr fontId="2"/>
  </si>
  <si>
    <t>project id</t>
    <phoneticPr fontId="2"/>
  </si>
  <si>
    <t>opportnity iD</t>
    <phoneticPr fontId="2"/>
  </si>
  <si>
    <t>コンサルタント1</t>
    <phoneticPr fontId="2"/>
  </si>
  <si>
    <t>コンサルタント2</t>
    <phoneticPr fontId="2"/>
  </si>
  <si>
    <t>Total</t>
    <phoneticPr fontId="2"/>
  </si>
  <si>
    <t>出光興産株式会社</t>
    <rPh sb="0" eb="8">
      <t>イデミツコウサンカブシキガイシャ</t>
    </rPh>
    <phoneticPr fontId="2"/>
  </si>
  <si>
    <t>自社</t>
    <rPh sb="0" eb="2">
      <t>ジシャ</t>
    </rPh>
    <phoneticPr fontId="2"/>
  </si>
  <si>
    <t>apolloONE</t>
    <phoneticPr fontId="2"/>
  </si>
  <si>
    <t>Blog</t>
    <phoneticPr fontId="2"/>
  </si>
  <si>
    <t>Firm</t>
    <phoneticPr fontId="2"/>
  </si>
  <si>
    <t>Yasuda</t>
    <phoneticPr fontId="2"/>
  </si>
  <si>
    <t>Takimiya</t>
    <phoneticPr fontId="2"/>
  </si>
  <si>
    <t>Chatbot</t>
    <phoneticPr fontId="2"/>
  </si>
  <si>
    <t>Instagram</t>
    <phoneticPr fontId="2"/>
  </si>
  <si>
    <t>Namelikly</t>
    <phoneticPr fontId="2"/>
  </si>
  <si>
    <t>Ito</t>
    <phoneticPr fontId="2"/>
  </si>
  <si>
    <t>広告運用</t>
    <rPh sb="0" eb="2">
      <t>コウコク</t>
    </rPh>
    <rPh sb="2" eb="4">
      <t>ウンヨウ</t>
    </rPh>
    <phoneticPr fontId="2"/>
  </si>
  <si>
    <t>Watanabe</t>
    <phoneticPr fontId="2"/>
  </si>
  <si>
    <t>戦略コンサルティング</t>
    <rPh sb="0" eb="2">
      <t>センリャク</t>
    </rPh>
    <phoneticPr fontId="2"/>
  </si>
  <si>
    <t>サイト制作</t>
    <rPh sb="3" eb="5">
      <t>セイサク</t>
    </rPh>
    <phoneticPr fontId="2"/>
  </si>
  <si>
    <t>タブコード</t>
    <phoneticPr fontId="2"/>
  </si>
  <si>
    <t>動画制作</t>
    <rPh sb="0" eb="2">
      <t>ドウガ</t>
    </rPh>
    <rPh sb="2" eb="4">
      <t>セイサク</t>
    </rPh>
    <phoneticPr fontId="2"/>
  </si>
  <si>
    <t>佐野</t>
    <rPh sb="0" eb="2">
      <t>サノ</t>
    </rPh>
    <phoneticPr fontId="2"/>
  </si>
  <si>
    <t>サイト改修</t>
    <rPh sb="3" eb="5">
      <t>カイシュウ</t>
    </rPh>
    <phoneticPr fontId="2"/>
  </si>
  <si>
    <t>バナー作成</t>
    <rPh sb="3" eb="5">
      <t>サクセイ</t>
    </rPh>
    <phoneticPr fontId="2"/>
  </si>
  <si>
    <t>太田</t>
    <rPh sb="0" eb="2">
      <t>オオタ</t>
    </rPh>
    <phoneticPr fontId="2"/>
  </si>
  <si>
    <t>ポチモ</t>
  </si>
  <si>
    <t>LINE×Xキャンペーン</t>
    <phoneticPr fontId="2"/>
  </si>
  <si>
    <t>オートシェア</t>
    <phoneticPr fontId="2"/>
  </si>
  <si>
    <t>戦略策定・PM</t>
  </si>
  <si>
    <t>広告運用</t>
  </si>
  <si>
    <t>オートフラット</t>
    <phoneticPr fontId="2"/>
  </si>
  <si>
    <t>ポチモ</t>
    <phoneticPr fontId="2"/>
  </si>
  <si>
    <t>LINE運用・システム料</t>
    <rPh sb="4" eb="6">
      <t>ウンヨウ</t>
    </rPh>
    <rPh sb="11" eb="12">
      <t>リョウ</t>
    </rPh>
    <phoneticPr fontId="2"/>
  </si>
  <si>
    <t>戦略設計・マーケティング</t>
    <rPh sb="0" eb="4">
      <t>センリャクセッケイ</t>
    </rPh>
    <phoneticPr fontId="2"/>
  </si>
  <si>
    <t>X運用</t>
    <rPh sb="1" eb="3">
      <t>ウンヨウ</t>
    </rPh>
    <phoneticPr fontId="2"/>
  </si>
  <si>
    <t>クリエイティブ制作</t>
  </si>
  <si>
    <t>Firm</t>
  </si>
  <si>
    <t>伊藤万</t>
    <rPh sb="0" eb="2">
      <t>イトウ</t>
    </rPh>
    <rPh sb="2" eb="3">
      <t>マン</t>
    </rPh>
    <phoneticPr fontId="2"/>
  </si>
  <si>
    <t>新</t>
    <rPh sb="0" eb="1">
      <t>シン</t>
    </rPh>
    <phoneticPr fontId="2"/>
  </si>
  <si>
    <t>サイト新設</t>
    <rPh sb="3" eb="5">
      <t>シンセツ</t>
    </rPh>
    <phoneticPr fontId="2"/>
  </si>
  <si>
    <t>Yauda</t>
    <phoneticPr fontId="2"/>
  </si>
  <si>
    <t>Luca</t>
    <phoneticPr fontId="2"/>
  </si>
  <si>
    <t>コラム</t>
  </si>
  <si>
    <t>LINE×Xキャンペーン_広告運用</t>
  </si>
  <si>
    <t>インターグ株式会社</t>
    <rPh sb="5" eb="7">
      <t>カブシキ</t>
    </rPh>
    <rPh sb="7" eb="9">
      <t>カイシャ</t>
    </rPh>
    <phoneticPr fontId="2"/>
  </si>
  <si>
    <t>Amazon支援</t>
    <rPh sb="6" eb="8">
      <t>シエン</t>
    </rPh>
    <phoneticPr fontId="2"/>
  </si>
  <si>
    <t>きらぼし銀行</t>
    <rPh sb="4" eb="6">
      <t>ギンコウ</t>
    </rPh>
    <phoneticPr fontId="2"/>
  </si>
  <si>
    <t>新規事業開発</t>
    <rPh sb="0" eb="4">
      <t>シンキジギョウ</t>
    </rPh>
    <rPh sb="4" eb="6">
      <t>カイハツ</t>
    </rPh>
    <phoneticPr fontId="2"/>
  </si>
  <si>
    <t>PH2</t>
    <phoneticPr fontId="2"/>
  </si>
  <si>
    <t>PH1</t>
    <phoneticPr fontId="2"/>
  </si>
  <si>
    <t>金鶴食品株式会社</t>
    <rPh sb="0" eb="2">
      <t>カネツル</t>
    </rPh>
    <rPh sb="2" eb="4">
      <t>ショクヒン</t>
    </rPh>
    <rPh sb="4" eb="8">
      <t>カブシキガイシャ</t>
    </rPh>
    <phoneticPr fontId="2"/>
  </si>
  <si>
    <t>楽天支援</t>
    <rPh sb="0" eb="2">
      <t>ラクテン</t>
    </rPh>
    <rPh sb="2" eb="4">
      <t>シエン</t>
    </rPh>
    <phoneticPr fontId="2"/>
  </si>
  <si>
    <t>株式会社AISIN</t>
    <rPh sb="0" eb="4">
      <t>カブシキカイシャ</t>
    </rPh>
    <phoneticPr fontId="2"/>
  </si>
  <si>
    <t>Amazonコンサル</t>
    <phoneticPr fontId="2"/>
  </si>
  <si>
    <t>宍戸</t>
    <rPh sb="0" eb="2">
      <t>シシド</t>
    </rPh>
    <phoneticPr fontId="2"/>
  </si>
  <si>
    <t>クリエイティブ制作</t>
    <rPh sb="7" eb="9">
      <t>セイサク</t>
    </rPh>
    <phoneticPr fontId="2"/>
  </si>
  <si>
    <t>Ota</t>
    <phoneticPr fontId="2"/>
  </si>
  <si>
    <t>株式会社EN</t>
    <rPh sb="0" eb="4">
      <t>カブシキカイシャ</t>
    </rPh>
    <phoneticPr fontId="2"/>
  </si>
  <si>
    <t>横浜信用金庫</t>
    <rPh sb="0" eb="2">
      <t>ヨコハマ</t>
    </rPh>
    <rPh sb="2" eb="4">
      <t>シンヨウ</t>
    </rPh>
    <rPh sb="4" eb="6">
      <t>キンコ</t>
    </rPh>
    <phoneticPr fontId="2"/>
  </si>
  <si>
    <t>株式会社SPINDLE</t>
    <rPh sb="0" eb="4">
      <t>カブシキカイシャ</t>
    </rPh>
    <phoneticPr fontId="2"/>
  </si>
  <si>
    <t>EC代行支援</t>
    <rPh sb="2" eb="4">
      <t>ダイコウ</t>
    </rPh>
    <rPh sb="4" eb="6">
      <t>シエン</t>
    </rPh>
    <phoneticPr fontId="2"/>
  </si>
  <si>
    <t>新規出店</t>
    <rPh sb="0" eb="4">
      <t>シンキシュッテン</t>
    </rPh>
    <phoneticPr fontId="2"/>
  </si>
  <si>
    <t>デイトナ</t>
    <phoneticPr fontId="2"/>
  </si>
  <si>
    <t>株式会社上野製作所</t>
    <rPh sb="0" eb="4">
      <t>カブシキカイシャ</t>
    </rPh>
    <rPh sb="4" eb="6">
      <t>ウエノ</t>
    </rPh>
    <rPh sb="6" eb="9">
      <t>セイサクショ</t>
    </rPh>
    <phoneticPr fontId="2"/>
  </si>
  <si>
    <t>株式会社セイワ</t>
    <rPh sb="0" eb="4">
      <t>カブシキカイシャ</t>
    </rPh>
    <phoneticPr fontId="2"/>
  </si>
  <si>
    <t>Rakuten/Yahoo支援</t>
    <rPh sb="13" eb="15">
      <t>シエン</t>
    </rPh>
    <phoneticPr fontId="2"/>
  </si>
  <si>
    <t>コズコム</t>
    <phoneticPr fontId="2"/>
  </si>
  <si>
    <t>株式会社武居商店</t>
    <rPh sb="0" eb="4">
      <t>カブシキカイシャ</t>
    </rPh>
    <rPh sb="4" eb="8">
      <t>タケイショウテン</t>
    </rPh>
    <phoneticPr fontId="2"/>
  </si>
  <si>
    <t>株式会社葉山ガーデン</t>
    <rPh sb="0" eb="4">
      <t>カブシキガイシャ</t>
    </rPh>
    <rPh sb="4" eb="6">
      <t>ハヤマ</t>
    </rPh>
    <phoneticPr fontId="2"/>
  </si>
  <si>
    <t>自社ECサイト</t>
    <rPh sb="0" eb="2">
      <t>ジシャ</t>
    </rPh>
    <phoneticPr fontId="2"/>
  </si>
  <si>
    <t>株式会社ふじいろ</t>
    <rPh sb="0" eb="4">
      <t>カブシキカイシャ</t>
    </rPh>
    <phoneticPr fontId="2"/>
  </si>
  <si>
    <t>Amazon</t>
    <phoneticPr fontId="2"/>
  </si>
  <si>
    <t>株式会社プリンタス</t>
    <rPh sb="0" eb="4">
      <t>カブシキカイシャ</t>
    </rPh>
    <phoneticPr fontId="2"/>
  </si>
  <si>
    <t>EC支援</t>
    <rPh sb="2" eb="4">
      <t>シエン</t>
    </rPh>
    <phoneticPr fontId="2"/>
  </si>
  <si>
    <t>株式会社プレブ</t>
    <rPh sb="0" eb="2">
      <t>カブシキ</t>
    </rPh>
    <rPh sb="2" eb="4">
      <t>カイシャ</t>
    </rPh>
    <phoneticPr fontId="2"/>
  </si>
  <si>
    <t>グローブライド株式会社</t>
  </si>
  <si>
    <t>公益財団法人どうぶつ基金</t>
    <rPh sb="0" eb="2">
      <t>コウエキ</t>
    </rPh>
    <rPh sb="2" eb="4">
      <t>ザイダン</t>
    </rPh>
    <rPh sb="4" eb="6">
      <t>ホウジン</t>
    </rPh>
    <rPh sb="10" eb="12">
      <t>キキン</t>
    </rPh>
    <phoneticPr fontId="2"/>
  </si>
  <si>
    <t>デジタルマーケティング</t>
    <phoneticPr fontId="2"/>
  </si>
  <si>
    <t>ゴードンミラー株式会社</t>
    <rPh sb="7" eb="11">
      <t>カブシキカイシャ</t>
    </rPh>
    <phoneticPr fontId="2"/>
  </si>
  <si>
    <t>PH3</t>
    <phoneticPr fontId="2"/>
  </si>
  <si>
    <t>Yahoo支援</t>
    <rPh sb="5" eb="7">
      <t>シエン</t>
    </rPh>
    <phoneticPr fontId="2"/>
  </si>
  <si>
    <t>星光産業株式会社</t>
    <rPh sb="0" eb="4">
      <t>セイコウサンギョウ</t>
    </rPh>
    <rPh sb="4" eb="8">
      <t>カブシキカイシャ</t>
    </rPh>
    <phoneticPr fontId="2"/>
  </si>
  <si>
    <t>Japan</t>
    <phoneticPr fontId="2"/>
  </si>
  <si>
    <t>斎間</t>
    <rPh sb="0" eb="2">
      <t>サイマ</t>
    </rPh>
    <phoneticPr fontId="2"/>
  </si>
  <si>
    <t>US</t>
    <phoneticPr fontId="2"/>
  </si>
  <si>
    <t>武井商店株式会社</t>
    <rPh sb="0" eb="4">
      <t>タケイショウテン</t>
    </rPh>
    <rPh sb="4" eb="8">
      <t>カブシキカイシャ</t>
    </rPh>
    <phoneticPr fontId="2"/>
  </si>
  <si>
    <t>ディーエヌ株式会社</t>
    <rPh sb="5" eb="7">
      <t>カブシキ</t>
    </rPh>
    <rPh sb="7" eb="9">
      <t>カイシャ</t>
    </rPh>
    <phoneticPr fontId="2"/>
  </si>
  <si>
    <t>Rakuten/Yahoo</t>
    <phoneticPr fontId="2"/>
  </si>
  <si>
    <t>ECコンサル</t>
    <phoneticPr fontId="2"/>
  </si>
  <si>
    <t>メジャークラフト株式会社</t>
    <rPh sb="8" eb="12">
      <t>カブシキカイシャ</t>
    </rPh>
    <phoneticPr fontId="2"/>
  </si>
  <si>
    <t>Cozcom</t>
    <phoneticPr fontId="2"/>
  </si>
  <si>
    <t>簡易財務調査</t>
    <rPh sb="0" eb="2">
      <t>カンイ</t>
    </rPh>
    <rPh sb="2" eb="4">
      <t>ザイム</t>
    </rPh>
    <rPh sb="4" eb="6">
      <t>チョウサ</t>
    </rPh>
    <phoneticPr fontId="2"/>
  </si>
  <si>
    <t>Win</t>
    <phoneticPr fontId="2"/>
  </si>
  <si>
    <t>有限会社大桜</t>
    <rPh sb="0" eb="4">
      <t>ユウゲンガイシャ</t>
    </rPh>
    <rPh sb="4" eb="5">
      <t>ダイ</t>
    </rPh>
    <rPh sb="5" eb="6">
      <t>サクラ</t>
    </rPh>
    <phoneticPr fontId="2"/>
  </si>
  <si>
    <t>MVV策定</t>
    <rPh sb="3" eb="5">
      <t>サクテイ</t>
    </rPh>
    <phoneticPr fontId="2"/>
  </si>
  <si>
    <t>事業計画</t>
    <rPh sb="0" eb="4">
      <t>ジギョウケイカク</t>
    </rPh>
    <phoneticPr fontId="2"/>
  </si>
  <si>
    <t>LINE</t>
    <phoneticPr fontId="2"/>
  </si>
  <si>
    <t>システム開発</t>
    <rPh sb="4" eb="6">
      <t>カイハツ</t>
    </rPh>
    <phoneticPr fontId="2"/>
  </si>
  <si>
    <t>財務管理システム構築</t>
    <rPh sb="0" eb="2">
      <t>ザイム</t>
    </rPh>
    <rPh sb="2" eb="4">
      <t>カンリ</t>
    </rPh>
    <rPh sb="8" eb="10">
      <t>コウチク</t>
    </rPh>
    <phoneticPr fontId="2"/>
  </si>
  <si>
    <t>コミュニサイト制作（銀の葡萄）</t>
    <rPh sb="7" eb="9">
      <t>セイサク</t>
    </rPh>
    <rPh sb="10" eb="11">
      <t>ギン</t>
    </rPh>
    <rPh sb="12" eb="14">
      <t>ブドウ</t>
    </rPh>
    <phoneticPr fontId="2"/>
  </si>
  <si>
    <t>ラインロジスティクス株式会社</t>
    <rPh sb="10" eb="14">
      <t>カブシキカイシャ</t>
    </rPh>
    <phoneticPr fontId="2"/>
  </si>
  <si>
    <t>Saas</t>
  </si>
  <si>
    <t>DX顧問</t>
    <rPh sb="2" eb="4">
      <t>コモン</t>
    </rPh>
    <phoneticPr fontId="2"/>
  </si>
  <si>
    <t>補助金支援</t>
    <rPh sb="0" eb="3">
      <t>ホジョキン</t>
    </rPh>
    <rPh sb="3" eb="5">
      <t>シエン</t>
    </rPh>
    <phoneticPr fontId="2"/>
  </si>
  <si>
    <t>開発費</t>
  </si>
  <si>
    <t>北海道乳業株式会社</t>
    <phoneticPr fontId="2"/>
  </si>
  <si>
    <t>イートっぷ</t>
  </si>
  <si>
    <t>岡林釣具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</si>
</sst>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8"/>
      <color theme="1"/>
      <name val="Meiryo UI"/>
      <family val="3"/>
      <charset val="128"/>
    </font>
    <font>
      <sz val="8"/>
      <color theme="0"/>
      <name val="Meiryo UI"/>
      <family val="3"/>
      <charset val="128"/>
    </font>
    <font>
      <sz val="10"/>
      <color theme="1"/>
      <name val="Meiryo UI"/>
      <family val="3"/>
      <charset val="128"/>
    </font>
    <font>
      <sz val="11"/>
      <color theme="1"/>
      <name val="Meiryo UI"/>
      <family val="3"/>
      <charset val="128"/>
    </font>
    <font>
      <b/>
      <sz val="11"/>
      <color theme="1"/>
      <name val="Meiryo UI"/>
      <family val="3"/>
      <charset val="128"/>
    </font>
    <font>
      <b/>
      <sz val="10"/>
      <color theme="1"/>
      <name val="Meiryo UI"/>
      <family val="3"/>
      <charset val="128"/>
    </font>
    <font>
      <i/>
      <sz val="10"/>
      <color theme="1"/>
      <name val="Meiryo UI"/>
      <family val="3"/>
      <charset val="128"/>
    </font>
    <font>
      <b/>
      <i/>
      <sz val="10"/>
      <color theme="1"/>
      <name val="Meiryo UI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sz val="10"/>
      <color theme="1"/>
      <name val="Meiryo UI"/>
      <family val="3"/>
    </font>
    <font>
      <i/>
      <sz val="10"/>
      <color theme="1"/>
      <name val="Meiryo UI"/>
      <family val="3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3" fillId="0" borderId="0" xfId="0" applyFont="1">
      <alignment vertical="center"/>
    </xf>
    <xf numFmtId="0" fontId="7" fillId="0" borderId="0" xfId="0" applyFont="1">
      <alignment vertical="center"/>
    </xf>
    <xf numFmtId="0" fontId="7" fillId="0" borderId="0" xfId="0" applyFont="1" applyAlignment="1">
      <alignment vertical="top" wrapText="1"/>
    </xf>
    <xf numFmtId="0" fontId="7" fillId="0" borderId="0" xfId="0" applyFont="1" applyAlignment="1">
      <alignment vertical="top"/>
    </xf>
    <xf numFmtId="0" fontId="5" fillId="2" borderId="3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17" fontId="5" fillId="2" borderId="3" xfId="0" applyNumberFormat="1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right" vertical="center"/>
    </xf>
    <xf numFmtId="9" fontId="6" fillId="0" borderId="1" xfId="2" applyFont="1" applyBorder="1" applyAlignment="1">
      <alignment horizontal="right" vertical="center" wrapText="1"/>
    </xf>
    <xf numFmtId="38" fontId="6" fillId="0" borderId="1" xfId="1" applyFont="1" applyBorder="1" applyAlignment="1">
      <alignment horizontal="right" vertical="center"/>
    </xf>
    <xf numFmtId="9" fontId="6" fillId="0" borderId="1" xfId="2" applyFont="1" applyBorder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4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5" fillId="2" borderId="5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6" fillId="0" borderId="1" xfId="0" applyFont="1" applyBorder="1" applyAlignment="1">
      <alignment horizontal="right" vertical="center" wrapText="1"/>
    </xf>
    <xf numFmtId="9" fontId="6" fillId="0" borderId="1" xfId="0" applyNumberFormat="1" applyFont="1" applyBorder="1" applyAlignment="1">
      <alignment horizontal="right" vertical="center" wrapText="1"/>
    </xf>
    <xf numFmtId="3" fontId="6" fillId="0" borderId="1" xfId="1" applyNumberFormat="1" applyFont="1" applyBorder="1" applyAlignment="1">
      <alignment horizontal="right" vertical="center"/>
    </xf>
    <xf numFmtId="3" fontId="6" fillId="0" borderId="0" xfId="0" applyNumberFormat="1" applyFont="1" applyAlignment="1">
      <alignment vertical="top"/>
    </xf>
    <xf numFmtId="0" fontId="5" fillId="0" borderId="0" xfId="0" applyFont="1" applyAlignment="1">
      <alignment horizontal="center" vertical="center"/>
    </xf>
    <xf numFmtId="38" fontId="6" fillId="0" borderId="0" xfId="1" applyFont="1" applyFill="1" applyBorder="1" applyAlignment="1">
      <alignment horizontal="right" vertical="center"/>
    </xf>
    <xf numFmtId="17" fontId="5" fillId="2" borderId="2" xfId="0" applyNumberFormat="1" applyFont="1" applyFill="1" applyBorder="1" applyAlignment="1">
      <alignment horizontal="center" vertical="center"/>
    </xf>
    <xf numFmtId="0" fontId="8" fillId="3" borderId="0" xfId="0" applyFont="1" applyFill="1" applyAlignment="1">
      <alignment vertical="top"/>
    </xf>
    <xf numFmtId="0" fontId="7" fillId="3" borderId="0" xfId="0" applyFont="1" applyFill="1" applyAlignment="1">
      <alignment vertical="top"/>
    </xf>
    <xf numFmtId="0" fontId="8" fillId="4" borderId="0" xfId="0" applyFont="1" applyFill="1" applyAlignment="1">
      <alignment vertical="top"/>
    </xf>
    <xf numFmtId="0" fontId="7" fillId="4" borderId="0" xfId="0" applyFont="1" applyFill="1" applyAlignment="1">
      <alignment vertical="top"/>
    </xf>
    <xf numFmtId="3" fontId="10" fillId="0" borderId="0" xfId="0" applyNumberFormat="1" applyFont="1" applyAlignment="1">
      <alignment vertical="top"/>
    </xf>
    <xf numFmtId="3" fontId="11" fillId="0" borderId="0" xfId="0" applyNumberFormat="1" applyFont="1" applyAlignment="1">
      <alignment vertical="top"/>
    </xf>
    <xf numFmtId="38" fontId="9" fillId="0" borderId="1" xfId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3" fontId="9" fillId="0" borderId="1" xfId="1" applyNumberFormat="1" applyFont="1" applyBorder="1" applyAlignment="1">
      <alignment horizontal="right" vertical="center"/>
    </xf>
    <xf numFmtId="0" fontId="8" fillId="5" borderId="0" xfId="0" applyFont="1" applyFill="1" applyAlignment="1">
      <alignment vertical="top"/>
    </xf>
    <xf numFmtId="0" fontId="7" fillId="5" borderId="0" xfId="0" applyFont="1" applyFill="1" applyAlignment="1">
      <alignment vertical="top"/>
    </xf>
    <xf numFmtId="3" fontId="0" fillId="0" borderId="0" xfId="0" applyNumberFormat="1">
      <alignment vertical="center"/>
    </xf>
    <xf numFmtId="0" fontId="12" fillId="0" borderId="0" xfId="0" applyFont="1" applyAlignment="1">
      <alignment horizontal="left" vertical="center"/>
    </xf>
    <xf numFmtId="0" fontId="12" fillId="0" borderId="0" xfId="0" applyFont="1">
      <alignment vertical="center"/>
    </xf>
    <xf numFmtId="9" fontId="13" fillId="0" borderId="1" xfId="2" applyFont="1" applyBorder="1" applyAlignment="1">
      <alignment horizontal="right" vertical="center" wrapText="1"/>
    </xf>
    <xf numFmtId="3" fontId="13" fillId="0" borderId="1" xfId="1" applyNumberFormat="1" applyFont="1" applyBorder="1" applyAlignment="1">
      <alignment horizontal="right" vertical="center"/>
    </xf>
    <xf numFmtId="9" fontId="13" fillId="0" borderId="1" xfId="0" applyNumberFormat="1" applyFont="1" applyBorder="1" applyAlignment="1">
      <alignment horizontal="right" vertical="center" wrapText="1"/>
    </xf>
    <xf numFmtId="0" fontId="13" fillId="0" borderId="1" xfId="0" applyFont="1" applyBorder="1" applyAlignment="1">
      <alignment horizontal="left" vertical="center"/>
    </xf>
    <xf numFmtId="3" fontId="14" fillId="0" borderId="0" xfId="0" applyNumberFormat="1" applyFont="1" applyAlignment="1">
      <alignment vertical="top"/>
    </xf>
    <xf numFmtId="38" fontId="6" fillId="3" borderId="1" xfId="1" applyFont="1" applyFill="1" applyBorder="1" applyAlignment="1">
      <alignment horizontal="right" vertical="center"/>
    </xf>
    <xf numFmtId="9" fontId="6" fillId="0" borderId="1" xfId="2" applyFont="1" applyFill="1" applyBorder="1" applyAlignment="1">
      <alignment horizontal="right" vertical="center" wrapText="1"/>
    </xf>
    <xf numFmtId="38" fontId="6" fillId="0" borderId="1" xfId="1" applyFont="1" applyFill="1" applyBorder="1" applyAlignment="1">
      <alignment horizontal="right" vertical="center"/>
    </xf>
  </cellXfs>
  <cellStyles count="3">
    <cellStyle name="パーセント" xfId="2" builtinId="5"/>
    <cellStyle name="桁区切り" xfId="1" builtinId="6"/>
    <cellStyle name="標準" xfId="0" builtinId="0"/>
  </cellStyles>
  <dxfs count="3">
    <dxf>
      <numFmt numFmtId="3" formatCode="#,##0"/>
    </dxf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伊藤祐太" id="{16F7BC09-2048-4DC0-BD5E-7A4EB1C3810D}" userId="伊藤祐太" providerId="Non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97.758739467594" createdVersion="8" refreshedVersion="8" minRefreshableVersion="3" recordCount="73" xr:uid="{56831807-3C67-4285-AFCC-F602EBB542D4}">
  <cacheSource type="worksheet">
    <worksheetSource ref="B3:AB76" sheet="pipeline management"/>
  </cacheSource>
  <cacheFields count="27">
    <cacheField name="ID" numFmtId="0">
      <sharedItems containsSemiMixedTypes="0" containsString="0" containsNumber="1" containsInteger="1" minValue="1" maxValue="77"/>
    </cacheField>
    <cacheField name="新/既" numFmtId="0">
      <sharedItems containsBlank="1"/>
    </cacheField>
    <cacheField name="Client name(顧客名）" numFmtId="0">
      <sharedItems containsBlank="1" count="24">
        <s v="出光興産株式会社"/>
        <s v="インターグ株式会社"/>
        <s v="エーアンドエーマテリアル株式会社"/>
        <s v="金鶴食品株式会社"/>
        <s v="株式会社AISIN"/>
        <s v="株式会社EN"/>
        <s v="株式会社SPINDLE"/>
        <s v="株式会社セイワ"/>
        <s v="株式会社武居商店"/>
        <s v="株式会社葉山ガーデン"/>
        <s v="株式会社プレブ"/>
        <s v="公益財団法人どうぶつ基金"/>
        <s v="ゴードンミラー株式会社"/>
        <s v="星光産業株式会社"/>
        <s v="ディーエヌ株式会社"/>
        <s v="メジャークラフト株式会社"/>
        <s v="ラインロジスティクス株式会社"/>
        <s v="北海道乳業株式会社"/>
        <s v="武井商店株式会社"/>
        <s v="株式会社上野製作所"/>
        <s v="株式会社プリンタス"/>
        <s v="有限会社大桜"/>
        <s v="株式会社ふじいろ"/>
        <m/>
      </sharedItems>
    </cacheField>
    <cacheField name="紹介先" numFmtId="0">
      <sharedItems containsBlank="1"/>
    </cacheField>
    <cacheField name="opportunity name(案件名）" numFmtId="0">
      <sharedItems containsBlank="1"/>
    </cacheField>
    <cacheField name="Subopty" numFmtId="0">
      <sharedItems containsBlank="1"/>
    </cacheField>
    <cacheField name="状況" numFmtId="0">
      <sharedItems containsBlank="1"/>
    </cacheField>
    <cacheField name="Probability(勝率）" numFmtId="0">
      <sharedItems containsString="0" containsBlank="1" containsNumber="1" minValue="0.3" maxValue="1"/>
    </cacheField>
    <cacheField name="Sold CM%" numFmtId="0">
      <sharedItems containsString="0" containsBlank="1" containsNumber="1" minValue="0.1" maxValue="0.8"/>
    </cacheField>
    <cacheField name="project id" numFmtId="0">
      <sharedItems containsNonDate="0" containsString="0" containsBlank="1"/>
    </cacheField>
    <cacheField name="opportnity iD" numFmtId="0">
      <sharedItems containsNonDate="0" containsString="0" containsBlank="1"/>
    </cacheField>
    <cacheField name="PM" numFmtId="0">
      <sharedItems containsBlank="1" count="5">
        <s v="Yasuda"/>
        <s v="Ito"/>
        <s v="Takimiya"/>
        <s v="Watanabe"/>
        <m/>
      </sharedItems>
    </cacheField>
    <cacheField name="コンサルタント1" numFmtId="0">
      <sharedItems containsBlank="1" count="18">
        <s v="Takimiya"/>
        <s v="Watanabe"/>
        <s v="Ito"/>
        <s v="タブコード"/>
        <s v="佐野"/>
        <s v="太田"/>
        <m/>
        <s v="宍戸"/>
        <s v="Ota"/>
        <s v="コズコム"/>
        <s v="Yasuda"/>
        <s v="斎間"/>
        <s v="Cozcom"/>
        <s v="Luca"/>
        <s v="伊藤万"/>
        <s v="Yauda"/>
        <s v="大西" u="1"/>
        <s v="??" u="1"/>
      </sharedItems>
    </cacheField>
    <cacheField name="コンサルタント2" numFmtId="0">
      <sharedItems containsBlank="1"/>
    </cacheField>
    <cacheField name="Oct-25" numFmtId="38">
      <sharedItems containsString="0" containsBlank="1" containsNumber="1" containsInteger="1" minValue="0" maxValue="2000"/>
    </cacheField>
    <cacheField name="Nov-25" numFmtId="38">
      <sharedItems containsString="0" containsBlank="1" containsNumber="1" containsInteger="1" minValue="0" maxValue="2000"/>
    </cacheField>
    <cacheField name="Dec-25" numFmtId="38">
      <sharedItems containsString="0" containsBlank="1" containsNumber="1" containsInteger="1" minValue="0" maxValue="1500"/>
    </cacheField>
    <cacheField name="Jan-26" numFmtId="38">
      <sharedItems containsString="0" containsBlank="1" containsNumber="1" containsInteger="1" minValue="0" maxValue="2400"/>
    </cacheField>
    <cacheField name="Feb-26" numFmtId="38">
      <sharedItems containsString="0" containsBlank="1" containsNumber="1" containsInteger="1" minValue="0" maxValue="2400"/>
    </cacheField>
    <cacheField name="Mar-26" numFmtId="38">
      <sharedItems containsString="0" containsBlank="1" containsNumber="1" containsInteger="1" minValue="0" maxValue="2400"/>
    </cacheField>
    <cacheField name="Apr-26" numFmtId="0">
      <sharedItems containsString="0" containsBlank="1" containsNumber="1" containsInteger="1" minValue="0" maxValue="2400"/>
    </cacheField>
    <cacheField name="May-26" numFmtId="0">
      <sharedItems containsString="0" containsBlank="1" containsNumber="1" containsInteger="1" minValue="0" maxValue="3500"/>
    </cacheField>
    <cacheField name="Jun-26" numFmtId="0">
      <sharedItems containsString="0" containsBlank="1" containsNumber="1" containsInteger="1" minValue="0" maxValue="2400"/>
    </cacheField>
    <cacheField name="Jul-26" numFmtId="0">
      <sharedItems containsString="0" containsBlank="1" containsNumber="1" containsInteger="1" minValue="0" maxValue="2400"/>
    </cacheField>
    <cacheField name="Aug-26" numFmtId="0">
      <sharedItems containsString="0" containsBlank="1" containsNumber="1" containsInteger="1" minValue="0" maxValue="2400"/>
    </cacheField>
    <cacheField name="Sep-26" numFmtId="0">
      <sharedItems containsString="0" containsBlank="1" containsNumber="1" containsInteger="1" minValue="0" maxValue="2400"/>
    </cacheField>
    <cacheField name="Total" numFmtId="38">
      <sharedItems containsString="0" containsBlank="1" containsNumber="1" containsInteger="1" minValue="0" maxValue="243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">
  <r>
    <n v="4"/>
    <m/>
    <x v="0"/>
    <s v="自社"/>
    <s v="apolloONE"/>
    <s v="Blog"/>
    <s v="Firm"/>
    <n v="1"/>
    <n v="0.8"/>
    <m/>
    <m/>
    <x v="0"/>
    <x v="0"/>
    <m/>
    <n v="0"/>
    <n v="0"/>
    <n v="450"/>
    <n v="450"/>
    <n v="750"/>
    <n v="450"/>
    <n v="0"/>
    <n v="0"/>
    <n v="0"/>
    <n v="0"/>
    <n v="0"/>
    <n v="0"/>
    <n v="2100"/>
  </r>
  <r>
    <n v="5"/>
    <m/>
    <x v="0"/>
    <s v="自社"/>
    <s v="apolloONE"/>
    <s v="Chatbot"/>
    <s v="Firm"/>
    <n v="1"/>
    <n v="0.8"/>
    <m/>
    <m/>
    <x v="0"/>
    <x v="0"/>
    <m/>
    <m/>
    <m/>
    <m/>
    <n v="600"/>
    <n v="160"/>
    <n v="160"/>
    <n v="160"/>
    <n v="160"/>
    <n v="160"/>
    <n v="160"/>
    <n v="160"/>
    <n v="160"/>
    <n v="1880"/>
  </r>
  <r>
    <n v="6"/>
    <m/>
    <x v="0"/>
    <s v="自社"/>
    <s v="apolloONE"/>
    <s v="Instagram"/>
    <s v="Namelikly"/>
    <n v="0.5"/>
    <n v="0.2"/>
    <m/>
    <m/>
    <x v="1"/>
    <x v="0"/>
    <m/>
    <m/>
    <m/>
    <m/>
    <m/>
    <m/>
    <m/>
    <m/>
    <m/>
    <m/>
    <m/>
    <m/>
    <m/>
    <n v="0"/>
  </r>
  <r>
    <n v="8"/>
    <m/>
    <x v="0"/>
    <s v="自社"/>
    <s v="apolloONE"/>
    <s v="広告運用"/>
    <s v="Firm"/>
    <n v="1"/>
    <n v="0.1"/>
    <m/>
    <m/>
    <x v="1"/>
    <x v="1"/>
    <m/>
    <n v="900"/>
    <n v="900"/>
    <n v="900"/>
    <n v="2400"/>
    <n v="2400"/>
    <n v="2400"/>
    <n v="2400"/>
    <n v="2400"/>
    <n v="2400"/>
    <n v="2400"/>
    <n v="2400"/>
    <n v="2400"/>
    <n v="24300"/>
  </r>
  <r>
    <n v="31"/>
    <m/>
    <x v="0"/>
    <s v="自社"/>
    <s v="apolloONE"/>
    <s v="戦略コンサルティング"/>
    <s v="Firm"/>
    <n v="1"/>
    <n v="0.5"/>
    <m/>
    <m/>
    <x v="1"/>
    <x v="2"/>
    <m/>
    <m/>
    <m/>
    <m/>
    <m/>
    <m/>
    <m/>
    <n v="800"/>
    <n v="800"/>
    <n v="800"/>
    <n v="800"/>
    <n v="800"/>
    <n v="800"/>
    <n v="4800"/>
  </r>
  <r>
    <n v="32"/>
    <m/>
    <x v="0"/>
    <s v="自社"/>
    <s v="apolloONE"/>
    <s v="サイト制作"/>
    <s v="Firm"/>
    <n v="1"/>
    <n v="0.5"/>
    <m/>
    <m/>
    <x v="2"/>
    <x v="3"/>
    <m/>
    <n v="500"/>
    <n v="1000"/>
    <n v="500"/>
    <m/>
    <n v="100"/>
    <m/>
    <m/>
    <m/>
    <m/>
    <m/>
    <m/>
    <m/>
    <n v="2100"/>
  </r>
  <r>
    <n v="33"/>
    <m/>
    <x v="0"/>
    <s v="自社"/>
    <s v="apolloONE"/>
    <s v="動画制作"/>
    <s v="Firm"/>
    <n v="1"/>
    <n v="0.5"/>
    <m/>
    <m/>
    <x v="1"/>
    <x v="4"/>
    <m/>
    <n v="0"/>
    <n v="0"/>
    <n v="1500"/>
    <n v="500"/>
    <n v="0"/>
    <n v="0"/>
    <n v="0"/>
    <n v="0"/>
    <n v="0"/>
    <n v="0"/>
    <n v="0"/>
    <n v="0"/>
    <n v="2000"/>
  </r>
  <r>
    <n v="34"/>
    <m/>
    <x v="0"/>
    <s v="自社"/>
    <s v="apolloONE"/>
    <s v="サイト改修"/>
    <s v="Namelikly"/>
    <n v="1"/>
    <n v="0.5"/>
    <m/>
    <m/>
    <x v="2"/>
    <x v="3"/>
    <m/>
    <m/>
    <m/>
    <m/>
    <m/>
    <n v="580"/>
    <m/>
    <m/>
    <m/>
    <m/>
    <m/>
    <m/>
    <m/>
    <n v="580"/>
  </r>
  <r>
    <n v="39"/>
    <m/>
    <x v="0"/>
    <s v="自社"/>
    <s v="apolloONE"/>
    <s v="バナー作成"/>
    <s v="Firm"/>
    <n v="1"/>
    <n v="0.5"/>
    <m/>
    <m/>
    <x v="2"/>
    <x v="5"/>
    <m/>
    <n v="200"/>
    <n v="200"/>
    <n v="200"/>
    <n v="200"/>
    <n v="200"/>
    <n v="200"/>
    <n v="200"/>
    <n v="200"/>
    <n v="200"/>
    <n v="200"/>
    <n v="200"/>
    <n v="200"/>
    <n v="2400"/>
  </r>
  <r>
    <n v="40"/>
    <m/>
    <x v="0"/>
    <s v="自社"/>
    <s v="apolloONE"/>
    <s v="LINE×Xキャンペーン"/>
    <s v="Firm"/>
    <n v="1"/>
    <n v="0.2"/>
    <m/>
    <m/>
    <x v="1"/>
    <x v="1"/>
    <m/>
    <n v="737"/>
    <n v="737"/>
    <n v="737"/>
    <m/>
    <m/>
    <m/>
    <m/>
    <m/>
    <m/>
    <m/>
    <m/>
    <m/>
    <n v="2211"/>
  </r>
  <r>
    <n v="7"/>
    <m/>
    <x v="0"/>
    <s v="自社"/>
    <s v="オートシェア"/>
    <s v="戦略策定・PM"/>
    <s v="Firm"/>
    <n v="1"/>
    <n v="0.5"/>
    <m/>
    <m/>
    <x v="1"/>
    <x v="2"/>
    <m/>
    <m/>
    <m/>
    <m/>
    <m/>
    <n v="400"/>
    <n v="400"/>
    <n v="400"/>
    <n v="400"/>
    <n v="400"/>
    <n v="0"/>
    <n v="0"/>
    <n v="0"/>
    <n v="2000"/>
  </r>
  <r>
    <n v="41"/>
    <m/>
    <x v="0"/>
    <s v="自社"/>
    <s v="オートシェア"/>
    <s v="広告運用"/>
    <s v="Firm"/>
    <n v="1"/>
    <n v="0.1"/>
    <m/>
    <m/>
    <x v="1"/>
    <x v="1"/>
    <m/>
    <m/>
    <m/>
    <m/>
    <m/>
    <m/>
    <n v="1500"/>
    <n v="1500"/>
    <n v="1500"/>
    <n v="1500"/>
    <m/>
    <m/>
    <m/>
    <n v="6000"/>
  </r>
  <r>
    <n v="22"/>
    <m/>
    <x v="0"/>
    <s v="自社"/>
    <s v="オートフラット"/>
    <s v="広告運用"/>
    <s v="Firm"/>
    <n v="1"/>
    <n v="0.1"/>
    <m/>
    <m/>
    <x v="1"/>
    <x v="1"/>
    <m/>
    <n v="300"/>
    <n v="300"/>
    <n v="300"/>
    <n v="300"/>
    <n v="300"/>
    <n v="300"/>
    <n v="0"/>
    <n v="0"/>
    <n v="0"/>
    <n v="0"/>
    <n v="0"/>
    <n v="0"/>
    <n v="1800"/>
  </r>
  <r>
    <n v="19"/>
    <m/>
    <x v="0"/>
    <s v="自社"/>
    <s v="ポチモ"/>
    <s v="LINE運用・システム料"/>
    <s v="Firm"/>
    <n v="1"/>
    <n v="0.5"/>
    <m/>
    <m/>
    <x v="1"/>
    <x v="1"/>
    <m/>
    <n v="400"/>
    <n v="400"/>
    <n v="400"/>
    <n v="400"/>
    <n v="400"/>
    <n v="400"/>
    <m/>
    <m/>
    <m/>
    <m/>
    <m/>
    <m/>
    <n v="2400"/>
  </r>
  <r>
    <n v="20"/>
    <m/>
    <x v="0"/>
    <s v="自社"/>
    <s v="ポチモ"/>
    <s v="戦略設計・マーケティング"/>
    <s v="Firm"/>
    <n v="1"/>
    <n v="0.5"/>
    <m/>
    <m/>
    <x v="1"/>
    <x v="2"/>
    <m/>
    <n v="800"/>
    <n v="800"/>
    <n v="800"/>
    <n v="800"/>
    <n v="800"/>
    <n v="800"/>
    <m/>
    <m/>
    <m/>
    <m/>
    <m/>
    <m/>
    <m/>
  </r>
  <r>
    <n v="21"/>
    <m/>
    <x v="0"/>
    <s v="自社"/>
    <s v="ポチモ"/>
    <s v="X運用"/>
    <s v="Firm"/>
    <n v="1"/>
    <n v="0.5"/>
    <m/>
    <m/>
    <x v="1"/>
    <x v="2"/>
    <m/>
    <n v="200"/>
    <n v="200"/>
    <n v="200"/>
    <n v="200"/>
    <n v="200"/>
    <n v="200"/>
    <m/>
    <m/>
    <m/>
    <m/>
    <m/>
    <m/>
    <m/>
  </r>
  <r>
    <n v="38"/>
    <m/>
    <x v="1"/>
    <s v="自社"/>
    <s v="Amazon支援"/>
    <m/>
    <s v="Firm"/>
    <n v="1"/>
    <n v="0.5"/>
    <m/>
    <m/>
    <x v="1"/>
    <x v="2"/>
    <m/>
    <n v="400"/>
    <n v="100"/>
    <n v="0"/>
    <n v="0"/>
    <n v="0"/>
    <n v="0"/>
    <n v="0"/>
    <n v="0"/>
    <n v="0"/>
    <n v="0"/>
    <n v="0"/>
    <n v="0"/>
    <n v="500"/>
  </r>
  <r>
    <n v="3"/>
    <m/>
    <x v="2"/>
    <s v="きらぼし銀行"/>
    <s v="新規事業開発"/>
    <s v="PH2"/>
    <s v="Namelikly"/>
    <n v="0.8"/>
    <n v="0.5"/>
    <m/>
    <m/>
    <x v="1"/>
    <x v="2"/>
    <m/>
    <n v="0"/>
    <n v="0"/>
    <n v="0"/>
    <n v="0"/>
    <n v="0"/>
    <n v="0"/>
    <n v="1600"/>
    <n v="1600"/>
    <n v="1600"/>
    <n v="1600"/>
    <n v="1600"/>
    <n v="1600"/>
    <n v="9600"/>
  </r>
  <r>
    <n v="35"/>
    <m/>
    <x v="2"/>
    <s v="きらぼし銀行"/>
    <s v="新規事業開発"/>
    <s v="PH1"/>
    <s v="Firm"/>
    <n v="1"/>
    <n v="0.5"/>
    <m/>
    <m/>
    <x v="1"/>
    <x v="2"/>
    <m/>
    <n v="640"/>
    <n v="640"/>
    <n v="640"/>
    <n v="0"/>
    <n v="0"/>
    <n v="0"/>
    <n v="0"/>
    <n v="0"/>
    <n v="0"/>
    <n v="0"/>
    <n v="0"/>
    <n v="0"/>
    <n v="1920"/>
  </r>
  <r>
    <n v="29"/>
    <s v="新"/>
    <x v="3"/>
    <s v="きらぼし銀行"/>
    <s v="楽天支援"/>
    <m/>
    <m/>
    <m/>
    <m/>
    <m/>
    <m/>
    <x v="1"/>
    <x v="6"/>
    <m/>
    <m/>
    <m/>
    <m/>
    <m/>
    <m/>
    <m/>
    <m/>
    <m/>
    <m/>
    <m/>
    <m/>
    <m/>
    <n v="0"/>
  </r>
  <r>
    <n v="25"/>
    <m/>
    <x v="4"/>
    <s v="自社"/>
    <s v="Amazon支援"/>
    <s v="Amazonコンサル"/>
    <s v="Firm"/>
    <n v="1"/>
    <n v="0.5"/>
    <m/>
    <m/>
    <x v="1"/>
    <x v="7"/>
    <m/>
    <n v="600"/>
    <n v="600"/>
    <n v="600"/>
    <n v="600"/>
    <n v="600"/>
    <n v="600"/>
    <n v="600"/>
    <n v="600"/>
    <n v="600"/>
    <n v="600"/>
    <n v="600"/>
    <n v="600"/>
    <n v="7200"/>
  </r>
  <r>
    <n v="1"/>
    <m/>
    <x v="5"/>
    <s v="横浜信用金庫"/>
    <s v="Amazon支援"/>
    <m/>
    <s v="Namelikly"/>
    <n v="0.5"/>
    <n v="0.5"/>
    <m/>
    <m/>
    <x v="0"/>
    <x v="7"/>
    <m/>
    <n v="0"/>
    <n v="0"/>
    <n v="0"/>
    <n v="0"/>
    <n v="0"/>
    <n v="600"/>
    <n v="600"/>
    <n v="600"/>
    <n v="600"/>
    <n v="600"/>
    <n v="600"/>
    <n v="600"/>
    <n v="4200"/>
  </r>
  <r>
    <n v="18"/>
    <m/>
    <x v="6"/>
    <s v="自社"/>
    <s v="EC代行支援"/>
    <m/>
    <s v="Firm"/>
    <n v="1"/>
    <n v="0.5"/>
    <m/>
    <m/>
    <x v="2"/>
    <x v="8"/>
    <m/>
    <n v="1200"/>
    <n v="1200"/>
    <n v="1200"/>
    <n v="1200"/>
    <n v="1200"/>
    <n v="1200"/>
    <n v="2000"/>
    <n v="2000"/>
    <n v="2000"/>
    <n v="2000"/>
    <n v="2000"/>
    <n v="2000"/>
    <n v="19200"/>
  </r>
  <r>
    <n v="28"/>
    <m/>
    <x v="7"/>
    <s v="自社"/>
    <s v="Rakuten/Yahoo支援"/>
    <m/>
    <s v="Firm"/>
    <n v="1"/>
    <n v="0.7"/>
    <m/>
    <m/>
    <x v="1"/>
    <x v="9"/>
    <m/>
    <n v="1200"/>
    <n v="1200"/>
    <n v="1200"/>
    <n v="1200"/>
    <n v="1200"/>
    <n v="1200"/>
    <n v="1200"/>
    <n v="1200"/>
    <n v="1200"/>
    <n v="1200"/>
    <n v="1200"/>
    <n v="1200"/>
    <n v="14400"/>
  </r>
  <r>
    <n v="16"/>
    <m/>
    <x v="8"/>
    <s v="横浜信用金庫"/>
    <s v="Rakuten/Yahoo支援"/>
    <m/>
    <s v="Firm"/>
    <n v="1"/>
    <n v="0.4"/>
    <m/>
    <m/>
    <x v="0"/>
    <x v="1"/>
    <m/>
    <n v="500"/>
    <n v="500"/>
    <n v="500"/>
    <n v="500"/>
    <n v="500"/>
    <n v="500"/>
    <n v="500"/>
    <n v="500"/>
    <n v="500"/>
    <n v="500"/>
    <n v="500"/>
    <n v="500"/>
    <n v="6000"/>
  </r>
  <r>
    <n v="9"/>
    <m/>
    <x v="9"/>
    <s v="横浜信用金庫"/>
    <s v="自社ECサイト"/>
    <m/>
    <s v="Namelikly"/>
    <n v="0.3"/>
    <n v="0.4"/>
    <m/>
    <m/>
    <x v="0"/>
    <x v="10"/>
    <m/>
    <n v="0"/>
    <n v="0"/>
    <n v="0"/>
    <n v="0"/>
    <n v="0"/>
    <n v="0"/>
    <n v="350"/>
    <n v="350"/>
    <n v="350"/>
    <n v="350"/>
    <n v="350"/>
    <n v="350"/>
    <n v="2100"/>
  </r>
  <r>
    <n v="17"/>
    <m/>
    <x v="10"/>
    <s v="横浜信用金庫"/>
    <s v="Amazon支援"/>
    <m/>
    <s v="Firm"/>
    <n v="1"/>
    <n v="0.4"/>
    <m/>
    <m/>
    <x v="0"/>
    <x v="1"/>
    <m/>
    <n v="375"/>
    <n v="375"/>
    <n v="375"/>
    <n v="375"/>
    <n v="375"/>
    <n v="375"/>
    <n v="375"/>
    <m/>
    <m/>
    <m/>
    <m/>
    <m/>
    <n v="2625"/>
  </r>
  <r>
    <n v="10"/>
    <m/>
    <x v="11"/>
    <s v="きらぼし銀行"/>
    <s v="デジタルマーケティング"/>
    <m/>
    <s v="Namelikly"/>
    <n v="1"/>
    <n v="0.5"/>
    <m/>
    <m/>
    <x v="2"/>
    <x v="0"/>
    <m/>
    <n v="0"/>
    <n v="0"/>
    <n v="0"/>
    <n v="0"/>
    <n v="0"/>
    <n v="200"/>
    <n v="200"/>
    <n v="200"/>
    <m/>
    <m/>
    <m/>
    <m/>
    <n v="600"/>
  </r>
  <r>
    <n v="36"/>
    <m/>
    <x v="12"/>
    <s v="自社"/>
    <s v="Amazon支援"/>
    <s v="PH3"/>
    <s v="Firm"/>
    <n v="1"/>
    <n v="0.5"/>
    <m/>
    <m/>
    <x v="1"/>
    <x v="7"/>
    <m/>
    <n v="720"/>
    <n v="0"/>
    <n v="0"/>
    <n v="0"/>
    <n v="0"/>
    <n v="0"/>
    <n v="0"/>
    <n v="0"/>
    <n v="0"/>
    <n v="0"/>
    <n v="0"/>
    <n v="0"/>
    <n v="720"/>
  </r>
  <r>
    <n v="37"/>
    <m/>
    <x v="12"/>
    <s v="自社"/>
    <s v="Yahoo支援"/>
    <s v="PH3"/>
    <s v="Firm"/>
    <n v="1"/>
    <n v="0.5"/>
    <m/>
    <m/>
    <x v="1"/>
    <x v="0"/>
    <m/>
    <n v="360"/>
    <n v="0"/>
    <n v="0"/>
    <n v="0"/>
    <n v="0"/>
    <n v="0"/>
    <n v="0"/>
    <n v="0"/>
    <n v="0"/>
    <n v="0"/>
    <n v="0"/>
    <n v="0"/>
    <n v="360"/>
  </r>
  <r>
    <n v="26"/>
    <m/>
    <x v="13"/>
    <s v="自社"/>
    <s v="Japan"/>
    <s v="Amazonコンサル"/>
    <s v="Firm"/>
    <n v="1"/>
    <n v="0.6"/>
    <m/>
    <m/>
    <x v="1"/>
    <x v="11"/>
    <m/>
    <n v="200"/>
    <n v="200"/>
    <n v="200"/>
    <n v="200"/>
    <n v="200"/>
    <n v="200"/>
    <n v="200"/>
    <n v="200"/>
    <n v="200"/>
    <n v="200"/>
    <n v="200"/>
    <n v="200"/>
    <n v="2400"/>
  </r>
  <r>
    <n v="27"/>
    <m/>
    <x v="13"/>
    <s v="自社"/>
    <s v="US"/>
    <s v="Amazonコンサル"/>
    <s v="Firm"/>
    <n v="1"/>
    <n v="0.6"/>
    <m/>
    <m/>
    <x v="1"/>
    <x v="11"/>
    <m/>
    <n v="200"/>
    <n v="200"/>
    <n v="200"/>
    <n v="200"/>
    <n v="200"/>
    <n v="200"/>
    <n v="200"/>
    <n v="200"/>
    <n v="200"/>
    <n v="200"/>
    <n v="200"/>
    <n v="200"/>
    <n v="2400"/>
  </r>
  <r>
    <n v="24"/>
    <m/>
    <x v="14"/>
    <s v="自社"/>
    <s v="Rakuten/Yahoo"/>
    <s v="ECコンサル"/>
    <s v="Firm"/>
    <n v="1"/>
    <n v="0.6"/>
    <m/>
    <m/>
    <x v="1"/>
    <x v="9"/>
    <m/>
    <n v="300"/>
    <n v="300"/>
    <n v="300"/>
    <n v="300"/>
    <n v="300"/>
    <n v="300"/>
    <n v="300"/>
    <n v="300"/>
    <n v="300"/>
    <n v="300"/>
    <n v="300"/>
    <n v="300"/>
    <n v="3600"/>
  </r>
  <r>
    <n v="12"/>
    <m/>
    <x v="15"/>
    <s v="自社"/>
    <s v="Amazon支援"/>
    <m/>
    <s v="Namelikly"/>
    <n v="0.8"/>
    <n v="0.6"/>
    <m/>
    <m/>
    <x v="1"/>
    <x v="12"/>
    <m/>
    <n v="2000"/>
    <n v="2000"/>
    <n v="0"/>
    <n v="0"/>
    <n v="500"/>
    <m/>
    <m/>
    <m/>
    <m/>
    <m/>
    <m/>
    <m/>
    <n v="4500"/>
  </r>
  <r>
    <n v="11"/>
    <m/>
    <x v="15"/>
    <s v="自社"/>
    <s v="簡易財務調査"/>
    <m/>
    <s v="Win"/>
    <n v="1"/>
    <n v="0.5"/>
    <m/>
    <m/>
    <x v="1"/>
    <x v="2"/>
    <m/>
    <m/>
    <m/>
    <m/>
    <n v="500"/>
    <n v="500"/>
    <m/>
    <m/>
    <m/>
    <m/>
    <m/>
    <m/>
    <m/>
    <n v="1000"/>
  </r>
  <r>
    <n v="30"/>
    <s v="新"/>
    <x v="16"/>
    <s v="きらぼし銀行"/>
    <m/>
    <m/>
    <s v="Namelikly"/>
    <n v="0.5"/>
    <m/>
    <m/>
    <m/>
    <x v="0"/>
    <x v="13"/>
    <m/>
    <m/>
    <m/>
    <m/>
    <m/>
    <m/>
    <n v="380"/>
    <n v="380"/>
    <n v="380"/>
    <n v="380"/>
    <n v="380"/>
    <n v="380"/>
    <n v="380"/>
    <n v="2660"/>
  </r>
  <r>
    <n v="2"/>
    <m/>
    <x v="17"/>
    <s v="きらぼし銀行"/>
    <s v="Amazon支援"/>
    <s v="PH2"/>
    <s v="Namelikly"/>
    <n v="0.3"/>
    <n v="0.5"/>
    <m/>
    <m/>
    <x v="1"/>
    <x v="0"/>
    <m/>
    <n v="0"/>
    <n v="0"/>
    <n v="0"/>
    <n v="0"/>
    <n v="0"/>
    <n v="640"/>
    <n v="640"/>
    <n v="640"/>
    <n v="640"/>
    <n v="640"/>
    <n v="640"/>
    <n v="640"/>
    <n v="4480"/>
  </r>
  <r>
    <n v="42"/>
    <m/>
    <x v="0"/>
    <s v="自社"/>
    <s v="オートシェア"/>
    <s v="クリエイティブ制作"/>
    <s v="Firm"/>
    <n v="1"/>
    <n v="0.5"/>
    <m/>
    <m/>
    <x v="1"/>
    <x v="0"/>
    <m/>
    <n v="0"/>
    <n v="0"/>
    <n v="0"/>
    <n v="0"/>
    <n v="0"/>
    <n v="400"/>
    <n v="400"/>
    <n v="400"/>
    <n v="400"/>
    <m/>
    <m/>
    <m/>
    <n v="1600"/>
  </r>
  <r>
    <n v="43"/>
    <m/>
    <x v="0"/>
    <s v="自社"/>
    <s v="apolloONE"/>
    <s v="動画制作"/>
    <s v="Firm"/>
    <n v="1"/>
    <n v="0.5"/>
    <m/>
    <m/>
    <x v="3"/>
    <x v="14"/>
    <m/>
    <n v="0"/>
    <n v="0"/>
    <n v="0"/>
    <n v="0"/>
    <n v="80"/>
    <n v="80"/>
    <m/>
    <m/>
    <m/>
    <m/>
    <m/>
    <m/>
    <n v="160"/>
  </r>
  <r>
    <n v="44"/>
    <m/>
    <x v="18"/>
    <s v="横浜信用金庫"/>
    <s v="自社ECサイト"/>
    <s v="サイト制作"/>
    <s v="Namelikly"/>
    <n v="0.5"/>
    <n v="0.5"/>
    <m/>
    <m/>
    <x v="0"/>
    <x v="6"/>
    <m/>
    <m/>
    <m/>
    <m/>
    <m/>
    <m/>
    <m/>
    <m/>
    <m/>
    <m/>
    <m/>
    <m/>
    <m/>
    <n v="0"/>
  </r>
  <r>
    <n v="45"/>
    <m/>
    <x v="19"/>
    <s v="きらぼし銀行"/>
    <s v="新規事業開発"/>
    <m/>
    <s v="Namelikly"/>
    <n v="0.3"/>
    <n v="0.5"/>
    <m/>
    <m/>
    <x v="4"/>
    <x v="6"/>
    <m/>
    <m/>
    <m/>
    <m/>
    <m/>
    <m/>
    <m/>
    <m/>
    <m/>
    <m/>
    <m/>
    <m/>
    <m/>
    <n v="0"/>
  </r>
  <r>
    <n v="46"/>
    <m/>
    <x v="20"/>
    <s v="きらぼし銀行"/>
    <s v="EC支援"/>
    <m/>
    <s v="Namelikly"/>
    <n v="0.3"/>
    <n v="0.5"/>
    <m/>
    <m/>
    <x v="4"/>
    <x v="6"/>
    <m/>
    <m/>
    <m/>
    <m/>
    <m/>
    <m/>
    <m/>
    <m/>
    <m/>
    <m/>
    <m/>
    <m/>
    <m/>
    <n v="0"/>
  </r>
  <r>
    <n v="47"/>
    <s v="新"/>
    <x v="21"/>
    <s v="横浜信用金庫"/>
    <s v="MVV策定"/>
    <s v="事業計画"/>
    <s v="Firm"/>
    <n v="1"/>
    <n v="0.4"/>
    <m/>
    <m/>
    <x v="1"/>
    <x v="2"/>
    <m/>
    <m/>
    <m/>
    <m/>
    <m/>
    <m/>
    <m/>
    <n v="500"/>
    <n v="500"/>
    <n v="500"/>
    <n v="500"/>
    <n v="500"/>
    <n v="500"/>
    <n v="3000"/>
  </r>
  <r>
    <n v="48"/>
    <m/>
    <x v="22"/>
    <s v="横浜信用金庫"/>
    <s v="Amazon"/>
    <m/>
    <s v="Namelikly"/>
    <n v="0.5"/>
    <m/>
    <m/>
    <m/>
    <x v="1"/>
    <x v="6"/>
    <m/>
    <m/>
    <m/>
    <m/>
    <m/>
    <m/>
    <m/>
    <m/>
    <m/>
    <m/>
    <m/>
    <m/>
    <m/>
    <n v="0"/>
  </r>
  <r>
    <n v="49"/>
    <s v="新"/>
    <x v="4"/>
    <s v="自社"/>
    <s v="クリエイティブ制作"/>
    <m/>
    <s v="Namelikly"/>
    <n v="0.8"/>
    <n v="0.5"/>
    <m/>
    <m/>
    <x v="2"/>
    <x v="8"/>
    <m/>
    <m/>
    <m/>
    <m/>
    <m/>
    <m/>
    <m/>
    <n v="475"/>
    <n v="475"/>
    <m/>
    <m/>
    <m/>
    <m/>
    <n v="950"/>
  </r>
  <r>
    <n v="50"/>
    <s v="新"/>
    <x v="4"/>
    <s v="自社"/>
    <s v="楽天支援"/>
    <s v="SPINDLE"/>
    <s v="Namelikly"/>
    <m/>
    <m/>
    <m/>
    <m/>
    <x v="2"/>
    <x v="8"/>
    <m/>
    <m/>
    <m/>
    <m/>
    <m/>
    <m/>
    <m/>
    <m/>
    <m/>
    <m/>
    <m/>
    <m/>
    <m/>
    <n v="0"/>
  </r>
  <r>
    <n v="51"/>
    <s v="新"/>
    <x v="6"/>
    <s v="自社"/>
    <s v="新規出店"/>
    <s v="デイトナ"/>
    <s v="Namelikly"/>
    <m/>
    <m/>
    <m/>
    <m/>
    <x v="2"/>
    <x v="8"/>
    <m/>
    <m/>
    <m/>
    <m/>
    <m/>
    <m/>
    <m/>
    <m/>
    <m/>
    <m/>
    <m/>
    <m/>
    <m/>
    <n v="0"/>
  </r>
  <r>
    <n v="52"/>
    <s v="新"/>
    <x v="0"/>
    <s v="自社"/>
    <s v="apolloONE"/>
    <s v="サイト新設"/>
    <s v="Namelikly"/>
    <n v="1"/>
    <n v="0.5"/>
    <m/>
    <m/>
    <x v="2"/>
    <x v="15"/>
    <s v="Luca"/>
    <m/>
    <m/>
    <m/>
    <m/>
    <m/>
    <m/>
    <m/>
    <n v="3500"/>
    <n v="300"/>
    <n v="300"/>
    <n v="300"/>
    <n v="300"/>
    <n v="4700"/>
  </r>
  <r>
    <n v="53"/>
    <m/>
    <x v="21"/>
    <s v="横浜信用金庫"/>
    <s v="デジタルマーケティング"/>
    <s v="LINE"/>
    <s v="Namelikly"/>
    <m/>
    <m/>
    <m/>
    <m/>
    <x v="4"/>
    <x v="6"/>
    <m/>
    <m/>
    <m/>
    <m/>
    <m/>
    <m/>
    <m/>
    <m/>
    <m/>
    <m/>
    <m/>
    <m/>
    <m/>
    <n v="0"/>
  </r>
  <r>
    <n v="54"/>
    <m/>
    <x v="21"/>
    <s v="横浜信用金庫"/>
    <s v="システム開発"/>
    <s v="財務管理システム構築"/>
    <s v="Namelikly"/>
    <m/>
    <m/>
    <m/>
    <m/>
    <x v="4"/>
    <x v="6"/>
    <m/>
    <m/>
    <m/>
    <m/>
    <m/>
    <m/>
    <m/>
    <m/>
    <m/>
    <m/>
    <m/>
    <m/>
    <m/>
    <n v="0"/>
  </r>
  <r>
    <n v="55"/>
    <m/>
    <x v="21"/>
    <s v="横浜信用金庫"/>
    <s v="システム開発"/>
    <s v="コミュニサイト制作（銀の葡萄）"/>
    <s v="Namelikly"/>
    <m/>
    <m/>
    <m/>
    <m/>
    <x v="4"/>
    <x v="6"/>
    <m/>
    <m/>
    <m/>
    <m/>
    <m/>
    <m/>
    <m/>
    <m/>
    <m/>
    <m/>
    <m/>
    <m/>
    <m/>
    <n v="0"/>
  </r>
  <r>
    <n v="56"/>
    <m/>
    <x v="10"/>
    <s v="横浜信用金庫"/>
    <s v="Amazon支援"/>
    <s v="PH2"/>
    <s v="Firm"/>
    <n v="1"/>
    <n v="0.4"/>
    <m/>
    <m/>
    <x v="0"/>
    <x v="1"/>
    <m/>
    <m/>
    <m/>
    <m/>
    <m/>
    <m/>
    <m/>
    <m/>
    <n v="375"/>
    <n v="375"/>
    <n v="375"/>
    <n v="375"/>
    <n v="375"/>
    <n v="1875"/>
  </r>
  <r>
    <n v="57"/>
    <s v="新"/>
    <x v="16"/>
    <s v="きらぼし銀行"/>
    <s v="DX顧問"/>
    <m/>
    <s v="Firm"/>
    <n v="1"/>
    <n v="0.4"/>
    <m/>
    <m/>
    <x v="0"/>
    <x v="10"/>
    <m/>
    <m/>
    <m/>
    <m/>
    <m/>
    <m/>
    <n v="500"/>
    <n v="500"/>
    <n v="500"/>
    <n v="500"/>
    <n v="500"/>
    <n v="500"/>
    <n v="500"/>
    <n v="3500"/>
  </r>
  <r>
    <n v="58"/>
    <s v="新"/>
    <x v="16"/>
    <s v="きらぼし銀行"/>
    <s v="補助金支援"/>
    <m/>
    <s v="Namelikly"/>
    <n v="0.5"/>
    <n v="0.5"/>
    <m/>
    <m/>
    <x v="1"/>
    <x v="2"/>
    <m/>
    <m/>
    <m/>
    <m/>
    <m/>
    <m/>
    <m/>
    <m/>
    <m/>
    <m/>
    <m/>
    <m/>
    <n v="2250"/>
    <n v="2250"/>
  </r>
  <r>
    <n v="59"/>
    <m/>
    <x v="0"/>
    <s v="自社"/>
    <s v="apolloONE"/>
    <s v="コラム"/>
    <s v="Namelikly"/>
    <n v="0.5"/>
    <n v="0.5"/>
    <m/>
    <m/>
    <x v="2"/>
    <x v="10"/>
    <m/>
    <m/>
    <m/>
    <m/>
    <m/>
    <m/>
    <m/>
    <n v="2000"/>
    <n v="2000"/>
    <m/>
    <m/>
    <m/>
    <m/>
    <n v="4000"/>
  </r>
  <r>
    <n v="60"/>
    <m/>
    <x v="23"/>
    <m/>
    <m/>
    <m/>
    <m/>
    <m/>
    <m/>
    <m/>
    <m/>
    <x v="4"/>
    <x v="6"/>
    <m/>
    <m/>
    <m/>
    <m/>
    <m/>
    <m/>
    <m/>
    <m/>
    <m/>
    <m/>
    <m/>
    <m/>
    <m/>
    <n v="0"/>
  </r>
  <r>
    <n v="61"/>
    <m/>
    <x v="23"/>
    <m/>
    <m/>
    <m/>
    <m/>
    <m/>
    <m/>
    <m/>
    <m/>
    <x v="4"/>
    <x v="6"/>
    <m/>
    <m/>
    <m/>
    <m/>
    <m/>
    <m/>
    <m/>
    <m/>
    <m/>
    <m/>
    <m/>
    <m/>
    <m/>
    <n v="0"/>
  </r>
  <r>
    <n v="62"/>
    <m/>
    <x v="23"/>
    <m/>
    <m/>
    <m/>
    <m/>
    <m/>
    <m/>
    <m/>
    <m/>
    <x v="4"/>
    <x v="6"/>
    <m/>
    <m/>
    <m/>
    <m/>
    <m/>
    <m/>
    <m/>
    <m/>
    <m/>
    <m/>
    <m/>
    <m/>
    <m/>
    <n v="0"/>
  </r>
  <r>
    <n v="63"/>
    <m/>
    <x v="23"/>
    <m/>
    <m/>
    <m/>
    <m/>
    <m/>
    <m/>
    <m/>
    <m/>
    <x v="4"/>
    <x v="6"/>
    <m/>
    <m/>
    <m/>
    <m/>
    <m/>
    <m/>
    <m/>
    <m/>
    <m/>
    <m/>
    <m/>
    <m/>
    <m/>
    <n v="0"/>
  </r>
  <r>
    <n v="64"/>
    <m/>
    <x v="23"/>
    <m/>
    <m/>
    <m/>
    <m/>
    <m/>
    <m/>
    <m/>
    <m/>
    <x v="4"/>
    <x v="6"/>
    <m/>
    <m/>
    <m/>
    <m/>
    <m/>
    <m/>
    <m/>
    <m/>
    <m/>
    <m/>
    <m/>
    <m/>
    <m/>
    <n v="0"/>
  </r>
  <r>
    <n v="65"/>
    <m/>
    <x v="23"/>
    <m/>
    <m/>
    <m/>
    <m/>
    <m/>
    <m/>
    <m/>
    <m/>
    <x v="4"/>
    <x v="6"/>
    <m/>
    <m/>
    <m/>
    <m/>
    <m/>
    <m/>
    <m/>
    <m/>
    <m/>
    <m/>
    <m/>
    <m/>
    <m/>
    <n v="0"/>
  </r>
  <r>
    <n v="66"/>
    <m/>
    <x v="23"/>
    <m/>
    <m/>
    <m/>
    <m/>
    <m/>
    <m/>
    <m/>
    <m/>
    <x v="4"/>
    <x v="6"/>
    <m/>
    <m/>
    <m/>
    <m/>
    <m/>
    <m/>
    <m/>
    <m/>
    <m/>
    <m/>
    <m/>
    <m/>
    <m/>
    <n v="0"/>
  </r>
  <r>
    <n v="67"/>
    <m/>
    <x v="23"/>
    <m/>
    <m/>
    <m/>
    <m/>
    <m/>
    <m/>
    <m/>
    <m/>
    <x v="4"/>
    <x v="6"/>
    <m/>
    <m/>
    <m/>
    <m/>
    <m/>
    <m/>
    <m/>
    <m/>
    <m/>
    <m/>
    <m/>
    <m/>
    <m/>
    <n v="0"/>
  </r>
  <r>
    <n v="68"/>
    <m/>
    <x v="23"/>
    <m/>
    <m/>
    <m/>
    <m/>
    <m/>
    <m/>
    <m/>
    <m/>
    <x v="4"/>
    <x v="6"/>
    <m/>
    <m/>
    <m/>
    <m/>
    <m/>
    <m/>
    <m/>
    <m/>
    <m/>
    <m/>
    <m/>
    <m/>
    <m/>
    <n v="0"/>
  </r>
  <r>
    <n v="69"/>
    <m/>
    <x v="23"/>
    <m/>
    <m/>
    <m/>
    <m/>
    <m/>
    <m/>
    <m/>
    <m/>
    <x v="4"/>
    <x v="6"/>
    <m/>
    <m/>
    <m/>
    <m/>
    <m/>
    <m/>
    <m/>
    <m/>
    <m/>
    <m/>
    <m/>
    <m/>
    <m/>
    <n v="0"/>
  </r>
  <r>
    <n v="70"/>
    <m/>
    <x v="23"/>
    <m/>
    <m/>
    <m/>
    <m/>
    <m/>
    <m/>
    <m/>
    <m/>
    <x v="4"/>
    <x v="6"/>
    <m/>
    <m/>
    <m/>
    <m/>
    <m/>
    <m/>
    <m/>
    <m/>
    <m/>
    <m/>
    <m/>
    <m/>
    <m/>
    <n v="0"/>
  </r>
  <r>
    <n v="71"/>
    <m/>
    <x v="23"/>
    <m/>
    <m/>
    <m/>
    <m/>
    <m/>
    <m/>
    <m/>
    <m/>
    <x v="4"/>
    <x v="6"/>
    <m/>
    <m/>
    <m/>
    <m/>
    <m/>
    <m/>
    <m/>
    <m/>
    <m/>
    <m/>
    <m/>
    <m/>
    <m/>
    <n v="0"/>
  </r>
  <r>
    <n v="72"/>
    <m/>
    <x v="23"/>
    <m/>
    <m/>
    <m/>
    <m/>
    <m/>
    <m/>
    <m/>
    <m/>
    <x v="4"/>
    <x v="6"/>
    <m/>
    <m/>
    <m/>
    <m/>
    <m/>
    <m/>
    <m/>
    <m/>
    <m/>
    <m/>
    <m/>
    <m/>
    <m/>
    <n v="0"/>
  </r>
  <r>
    <n v="73"/>
    <m/>
    <x v="23"/>
    <m/>
    <m/>
    <m/>
    <m/>
    <m/>
    <m/>
    <m/>
    <m/>
    <x v="4"/>
    <x v="6"/>
    <m/>
    <m/>
    <m/>
    <m/>
    <m/>
    <m/>
    <m/>
    <m/>
    <m/>
    <m/>
    <m/>
    <m/>
    <m/>
    <n v="0"/>
  </r>
  <r>
    <n v="74"/>
    <m/>
    <x v="23"/>
    <m/>
    <m/>
    <m/>
    <m/>
    <m/>
    <m/>
    <m/>
    <m/>
    <x v="4"/>
    <x v="6"/>
    <m/>
    <m/>
    <m/>
    <m/>
    <m/>
    <m/>
    <m/>
    <m/>
    <m/>
    <m/>
    <m/>
    <m/>
    <m/>
    <n v="0"/>
  </r>
  <r>
    <n v="75"/>
    <m/>
    <x v="23"/>
    <m/>
    <m/>
    <m/>
    <m/>
    <m/>
    <m/>
    <m/>
    <m/>
    <x v="4"/>
    <x v="6"/>
    <m/>
    <m/>
    <m/>
    <m/>
    <m/>
    <m/>
    <m/>
    <m/>
    <m/>
    <m/>
    <m/>
    <m/>
    <m/>
    <n v="0"/>
  </r>
  <r>
    <n v="76"/>
    <m/>
    <x v="23"/>
    <m/>
    <m/>
    <m/>
    <m/>
    <m/>
    <m/>
    <m/>
    <m/>
    <x v="4"/>
    <x v="6"/>
    <m/>
    <m/>
    <m/>
    <m/>
    <m/>
    <m/>
    <m/>
    <m/>
    <m/>
    <m/>
    <m/>
    <m/>
    <m/>
    <n v="0"/>
  </r>
  <r>
    <n v="77"/>
    <m/>
    <x v="23"/>
    <m/>
    <m/>
    <m/>
    <m/>
    <m/>
    <m/>
    <m/>
    <m/>
    <x v="4"/>
    <x v="6"/>
    <m/>
    <m/>
    <m/>
    <m/>
    <m/>
    <m/>
    <m/>
    <m/>
    <m/>
    <m/>
    <m/>
    <m/>
    <m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9D4686-3B8F-4F6B-AD65-3C4DCA8A4AE5}" name="ピボットテーブル3" cacheId="334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E3:G8" firstHeaderRow="0" firstDataRow="1" firstDataCol="1"/>
  <pivotFields count="27">
    <pivotField dataField="1" showAll="0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2"/>
        <item x="0"/>
        <item h="1"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1"/>
  </rowFields>
  <rowItems count="5">
    <i>
      <x/>
    </i>
    <i>
      <x v="1"/>
    </i>
    <i>
      <x v="2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合計 / Total" fld="26" baseField="0" baseItem="0" numFmtId="3"/>
    <dataField name="個数 / ID" fld="0" subtotal="count" baseField="11" baseItem="0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F388D3-64B0-4A67-AC9A-20007EB11BDA}" name="ピボットテーブル2" cacheId="334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A3:B28" firstHeaderRow="1" firstDataRow="1" firstDataCol="1"/>
  <pivotFields count="27">
    <pivotField showAll="0"/>
    <pivotField showAll="0"/>
    <pivotField axis="axisRow" showAll="0" sortType="descending">
      <items count="25">
        <item x="1"/>
        <item x="2"/>
        <item x="12"/>
        <item x="14"/>
        <item x="15"/>
        <item x="16"/>
        <item x="4"/>
        <item x="5"/>
        <item x="6"/>
        <item x="7"/>
        <item x="10"/>
        <item x="8"/>
        <item x="9"/>
        <item x="3"/>
        <item x="11"/>
        <item x="0"/>
        <item x="13"/>
        <item x="17"/>
        <item x="23"/>
        <item x="18"/>
        <item x="19"/>
        <item x="20"/>
        <item x="21"/>
        <item x="2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25">
    <i>
      <x v="15"/>
    </i>
    <i>
      <x v="8"/>
    </i>
    <i>
      <x v="9"/>
    </i>
    <i>
      <x v="1"/>
    </i>
    <i>
      <x v="5"/>
    </i>
    <i>
      <x v="6"/>
    </i>
    <i>
      <x v="11"/>
    </i>
    <i>
      <x v="4"/>
    </i>
    <i>
      <x v="16"/>
    </i>
    <i>
      <x v="10"/>
    </i>
    <i>
      <x v="17"/>
    </i>
    <i>
      <x v="7"/>
    </i>
    <i>
      <x v="3"/>
    </i>
    <i>
      <x v="22"/>
    </i>
    <i>
      <x v="12"/>
    </i>
    <i>
      <x v="2"/>
    </i>
    <i>
      <x v="14"/>
    </i>
    <i>
      <x/>
    </i>
    <i>
      <x v="21"/>
    </i>
    <i>
      <x v="20"/>
    </i>
    <i>
      <x v="23"/>
    </i>
    <i>
      <x v="19"/>
    </i>
    <i>
      <x v="13"/>
    </i>
    <i>
      <x v="18"/>
    </i>
    <i t="grand">
      <x/>
    </i>
  </rowItems>
  <colItems count="1">
    <i/>
  </colItems>
  <dataFields count="1">
    <dataField name="合計 / Total" fld="26" baseField="0" baseItem="0" numFmtId="3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F12B3A-D09F-431C-8A1C-84D93BBCAF6B}" name="ピボットテーブル4" cacheId="334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compact="0" compactData="0" multipleFieldFilters="0">
  <location ref="J3:M26" firstHeaderRow="0" firstDataRow="1" firstDataCol="2"/>
  <pivotFields count="27">
    <pivotField dataField="1" compact="0" outline="0" subtotalTop="0" showAll="0" defaultSubtotal="0"/>
    <pivotField compact="0" outline="0" subtotalTop="0" showAll="0" defaultSubtotal="0"/>
    <pivotField compact="0" outline="0" subtotalTop="0" showAll="0" sortType="descending" defaultSubtotal="0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axis="axisRow" compact="0" outline="0" subtotalTop="0" showAll="0" defaultSubtotal="0">
      <items count="5">
        <item x="1"/>
        <item x="2"/>
        <item x="0"/>
        <item h="1" x="4"/>
        <item x="3"/>
      </items>
    </pivotField>
    <pivotField axis="axisRow" compact="0" outline="0" subtotalTop="0" showAll="0" sortType="descending" defaultSubtotal="0">
      <items count="18">
        <item x="12"/>
        <item x="2"/>
        <item x="8"/>
        <item x="0"/>
        <item x="1"/>
        <item x="10"/>
        <item x="9"/>
        <item x="3"/>
        <item x="4"/>
        <item x="11"/>
        <item x="7"/>
        <item m="1" x="16"/>
        <item x="6"/>
        <item x="14"/>
        <item m="1" x="17"/>
        <item x="5"/>
        <item x="13"/>
        <item x="1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dataField="1" compact="0" outline="0" subtotalTop="0" showAll="0" defaultSubtotal="0"/>
  </pivotFields>
  <rowFields count="2">
    <field x="11"/>
    <field x="12"/>
  </rowFields>
  <rowItems count="23">
    <i>
      <x/>
      <x v="4"/>
    </i>
    <i r="1">
      <x v="1"/>
    </i>
    <i r="1">
      <x v="6"/>
    </i>
    <i r="1">
      <x v="10"/>
    </i>
    <i r="1">
      <x v="3"/>
    </i>
    <i r="1">
      <x v="9"/>
    </i>
    <i r="1">
      <x/>
    </i>
    <i r="1">
      <x v="8"/>
    </i>
    <i r="1">
      <x v="12"/>
    </i>
    <i>
      <x v="1"/>
      <x v="2"/>
    </i>
    <i r="1">
      <x v="17"/>
    </i>
    <i r="1">
      <x v="5"/>
    </i>
    <i r="1">
      <x v="7"/>
    </i>
    <i r="1">
      <x v="15"/>
    </i>
    <i r="1">
      <x v="3"/>
    </i>
    <i>
      <x v="2"/>
      <x v="4"/>
    </i>
    <i r="1">
      <x v="5"/>
    </i>
    <i r="1">
      <x v="10"/>
    </i>
    <i r="1">
      <x v="3"/>
    </i>
    <i r="1">
      <x v="16"/>
    </i>
    <i r="1">
      <x v="12"/>
    </i>
    <i>
      <x v="4"/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合計 / Total" fld="26" baseField="0" baseItem="0" numFmtId="3"/>
    <dataField name="個数 / ID" fld="0" subtotal="count" baseField="11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3" dT="2026-01-31T02:14:38.03" personId="{16F7BC09-2048-4DC0-BD5E-7A4EB1C3810D}" id="{5F3741FD-F61E-4D7C-870F-D8B042DC91C8}">
    <text>Firm(win)/Namelily 獲得済/見込み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70A00-394C-4A96-9803-1217872B9153}">
  <dimension ref="A2:M28"/>
  <sheetViews>
    <sheetView zoomScale="115" zoomScaleNormal="115" workbookViewId="0">
      <selection activeCell="E10" sqref="E10"/>
    </sheetView>
  </sheetViews>
  <sheetFormatPr defaultRowHeight="18.75"/>
  <cols>
    <col min="1" max="1" width="33.875" bestFit="1" customWidth="1"/>
    <col min="2" max="2" width="12.125" bestFit="1" customWidth="1"/>
    <col min="3" max="4" width="9.625" bestFit="1" customWidth="1"/>
    <col min="5" max="5" width="12.25" bestFit="1" customWidth="1"/>
    <col min="6" max="6" width="12.125" bestFit="1" customWidth="1"/>
    <col min="7" max="7" width="9.625" bestFit="1" customWidth="1"/>
    <col min="10" max="10" width="19.375" bestFit="1" customWidth="1"/>
    <col min="11" max="11" width="19.25" bestFit="1" customWidth="1"/>
    <col min="12" max="12" width="12.125" bestFit="1" customWidth="1"/>
    <col min="13" max="13" width="9.625" bestFit="1" customWidth="1"/>
  </cols>
  <sheetData>
    <row r="2" spans="1:13">
      <c r="A2" s="44" t="s">
        <v>0</v>
      </c>
      <c r="E2" s="43" t="s">
        <v>1</v>
      </c>
      <c r="J2" s="43" t="s">
        <v>2</v>
      </c>
    </row>
    <row r="3" spans="1:13">
      <c r="A3" s="20" t="s">
        <v>3</v>
      </c>
      <c r="B3" t="s">
        <v>4</v>
      </c>
      <c r="E3" s="20" t="s">
        <v>3</v>
      </c>
      <c r="F3" t="s">
        <v>4</v>
      </c>
      <c r="G3" t="s">
        <v>5</v>
      </c>
      <c r="J3" s="20" t="s">
        <v>6</v>
      </c>
      <c r="K3" s="20" t="s">
        <v>7</v>
      </c>
      <c r="L3" t="s">
        <v>4</v>
      </c>
      <c r="M3" t="s">
        <v>5</v>
      </c>
    </row>
    <row r="4" spans="1:13">
      <c r="A4" s="21" t="s">
        <v>8</v>
      </c>
      <c r="B4" s="42">
        <v>65031</v>
      </c>
      <c r="E4" s="21" t="s">
        <v>9</v>
      </c>
      <c r="F4" s="42">
        <v>105441</v>
      </c>
      <c r="G4" s="42">
        <v>29</v>
      </c>
      <c r="J4" t="s">
        <v>9</v>
      </c>
      <c r="K4" t="s">
        <v>10</v>
      </c>
      <c r="L4" s="42">
        <v>36711</v>
      </c>
      <c r="M4" s="42">
        <v>5</v>
      </c>
    </row>
    <row r="5" spans="1:13">
      <c r="A5" s="21" t="s">
        <v>11</v>
      </c>
      <c r="B5" s="42">
        <v>19200</v>
      </c>
      <c r="E5" s="21" t="s">
        <v>12</v>
      </c>
      <c r="F5" s="42">
        <v>34530</v>
      </c>
      <c r="G5" s="42">
        <v>10</v>
      </c>
      <c r="K5" t="s">
        <v>9</v>
      </c>
      <c r="L5" s="42">
        <v>25070</v>
      </c>
      <c r="M5" s="42">
        <v>10</v>
      </c>
    </row>
    <row r="6" spans="1:13">
      <c r="A6" s="21" t="s">
        <v>13</v>
      </c>
      <c r="B6" s="42">
        <v>14400</v>
      </c>
      <c r="E6" s="21" t="s">
        <v>14</v>
      </c>
      <c r="F6" s="42">
        <v>26940</v>
      </c>
      <c r="G6" s="42">
        <v>10</v>
      </c>
      <c r="K6" t="s">
        <v>15</v>
      </c>
      <c r="L6" s="42">
        <v>18000</v>
      </c>
      <c r="M6" s="42">
        <v>2</v>
      </c>
    </row>
    <row r="7" spans="1:13">
      <c r="A7" s="21" t="s">
        <v>16</v>
      </c>
      <c r="B7" s="42">
        <v>11520</v>
      </c>
      <c r="E7" s="21" t="s">
        <v>10</v>
      </c>
      <c r="F7" s="42">
        <v>160</v>
      </c>
      <c r="G7" s="42">
        <v>1</v>
      </c>
      <c r="K7" t="s">
        <v>17</v>
      </c>
      <c r="L7" s="42">
        <v>7920</v>
      </c>
      <c r="M7" s="42">
        <v>2</v>
      </c>
    </row>
    <row r="8" spans="1:13">
      <c r="A8" s="21" t="s">
        <v>18</v>
      </c>
      <c r="B8" s="42">
        <v>8410</v>
      </c>
      <c r="E8" s="21" t="s">
        <v>19</v>
      </c>
      <c r="F8" s="42">
        <v>167071</v>
      </c>
      <c r="G8" s="42">
        <v>50</v>
      </c>
      <c r="K8" t="s">
        <v>12</v>
      </c>
      <c r="L8" s="42">
        <v>6440</v>
      </c>
      <c r="M8" s="42">
        <v>4</v>
      </c>
    </row>
    <row r="9" spans="1:13">
      <c r="A9" s="21" t="s">
        <v>20</v>
      </c>
      <c r="B9" s="42">
        <v>8150</v>
      </c>
      <c r="K9" t="s">
        <v>21</v>
      </c>
      <c r="L9" s="42">
        <v>4800</v>
      </c>
      <c r="M9" s="42">
        <v>2</v>
      </c>
    </row>
    <row r="10" spans="1:13">
      <c r="A10" s="21" t="s">
        <v>22</v>
      </c>
      <c r="B10" s="42">
        <v>6000</v>
      </c>
      <c r="K10" t="s">
        <v>23</v>
      </c>
      <c r="L10" s="42">
        <v>4500</v>
      </c>
      <c r="M10" s="42">
        <v>1</v>
      </c>
    </row>
    <row r="11" spans="1:13">
      <c r="A11" s="21" t="s">
        <v>24</v>
      </c>
      <c r="B11" s="42">
        <v>5500</v>
      </c>
      <c r="K11" t="s">
        <v>25</v>
      </c>
      <c r="L11" s="42">
        <v>2000</v>
      </c>
      <c r="M11" s="42">
        <v>1</v>
      </c>
    </row>
    <row r="12" spans="1:13">
      <c r="A12" s="21" t="s">
        <v>26</v>
      </c>
      <c r="B12" s="42">
        <v>4800</v>
      </c>
      <c r="K12" t="s">
        <v>27</v>
      </c>
      <c r="L12" s="42">
        <v>0</v>
      </c>
      <c r="M12" s="42">
        <v>2</v>
      </c>
    </row>
    <row r="13" spans="1:13">
      <c r="A13" s="21" t="s">
        <v>28</v>
      </c>
      <c r="B13" s="42">
        <v>4500</v>
      </c>
      <c r="J13" t="s">
        <v>12</v>
      </c>
      <c r="K13" t="s">
        <v>29</v>
      </c>
      <c r="L13" s="42">
        <v>20150</v>
      </c>
      <c r="M13" s="42">
        <v>4</v>
      </c>
    </row>
    <row r="14" spans="1:13">
      <c r="A14" s="21" t="s">
        <v>30</v>
      </c>
      <c r="B14" s="42">
        <v>4480</v>
      </c>
      <c r="K14" t="s">
        <v>31</v>
      </c>
      <c r="L14" s="42">
        <v>4700</v>
      </c>
      <c r="M14" s="42">
        <v>1</v>
      </c>
    </row>
    <row r="15" spans="1:13">
      <c r="A15" s="21" t="s">
        <v>32</v>
      </c>
      <c r="B15" s="42">
        <v>4200</v>
      </c>
      <c r="K15" t="s">
        <v>14</v>
      </c>
      <c r="L15" s="42">
        <v>4000</v>
      </c>
      <c r="M15" s="42">
        <v>1</v>
      </c>
    </row>
    <row r="16" spans="1:13">
      <c r="A16" s="21" t="s">
        <v>33</v>
      </c>
      <c r="B16" s="42">
        <v>3600</v>
      </c>
      <c r="K16" t="s">
        <v>34</v>
      </c>
      <c r="L16" s="42">
        <v>2680</v>
      </c>
      <c r="M16" s="42">
        <v>2</v>
      </c>
    </row>
    <row r="17" spans="1:13">
      <c r="A17" s="21" t="s">
        <v>35</v>
      </c>
      <c r="B17" s="42">
        <v>3000</v>
      </c>
      <c r="K17" t="s">
        <v>36</v>
      </c>
      <c r="L17" s="42">
        <v>2400</v>
      </c>
      <c r="M17" s="42">
        <v>1</v>
      </c>
    </row>
    <row r="18" spans="1:13">
      <c r="A18" s="21" t="s">
        <v>37</v>
      </c>
      <c r="B18" s="42">
        <v>2100</v>
      </c>
      <c r="K18" t="s">
        <v>12</v>
      </c>
      <c r="L18" s="42">
        <v>600</v>
      </c>
      <c r="M18" s="42">
        <v>1</v>
      </c>
    </row>
    <row r="19" spans="1:13">
      <c r="A19" s="21" t="s">
        <v>38</v>
      </c>
      <c r="B19" s="42">
        <v>1080</v>
      </c>
      <c r="J19" t="s">
        <v>14</v>
      </c>
      <c r="K19" t="s">
        <v>10</v>
      </c>
      <c r="L19" s="42">
        <v>10500</v>
      </c>
      <c r="M19" s="42">
        <v>3</v>
      </c>
    </row>
    <row r="20" spans="1:13">
      <c r="A20" s="21" t="s">
        <v>39</v>
      </c>
      <c r="B20" s="42">
        <v>600</v>
      </c>
      <c r="K20" t="s">
        <v>14</v>
      </c>
      <c r="L20" s="42">
        <v>5600</v>
      </c>
      <c r="M20" s="42">
        <v>2</v>
      </c>
    </row>
    <row r="21" spans="1:13">
      <c r="A21" s="21" t="s">
        <v>40</v>
      </c>
      <c r="B21" s="42">
        <v>500</v>
      </c>
      <c r="K21" t="s">
        <v>17</v>
      </c>
      <c r="L21" s="42">
        <v>4200</v>
      </c>
      <c r="M21" s="42">
        <v>1</v>
      </c>
    </row>
    <row r="22" spans="1:13">
      <c r="A22" s="21" t="s">
        <v>41</v>
      </c>
      <c r="B22" s="42">
        <v>0</v>
      </c>
      <c r="K22" t="s">
        <v>12</v>
      </c>
      <c r="L22" s="42">
        <v>3980</v>
      </c>
      <c r="M22" s="42">
        <v>2</v>
      </c>
    </row>
    <row r="23" spans="1:13">
      <c r="A23" s="21" t="s">
        <v>42</v>
      </c>
      <c r="B23" s="42">
        <v>0</v>
      </c>
      <c r="K23" t="s">
        <v>43</v>
      </c>
      <c r="L23" s="42">
        <v>2660</v>
      </c>
      <c r="M23" s="42">
        <v>1</v>
      </c>
    </row>
    <row r="24" spans="1:13">
      <c r="A24" s="21" t="s">
        <v>44</v>
      </c>
      <c r="B24" s="42">
        <v>0</v>
      </c>
      <c r="K24" t="s">
        <v>27</v>
      </c>
      <c r="L24" s="42">
        <v>0</v>
      </c>
      <c r="M24" s="42">
        <v>1</v>
      </c>
    </row>
    <row r="25" spans="1:13">
      <c r="A25" s="21" t="s">
        <v>45</v>
      </c>
      <c r="B25" s="42">
        <v>0</v>
      </c>
      <c r="J25" t="s">
        <v>10</v>
      </c>
      <c r="K25" t="s">
        <v>46</v>
      </c>
      <c r="L25" s="42">
        <v>160</v>
      </c>
      <c r="M25" s="42">
        <v>1</v>
      </c>
    </row>
    <row r="26" spans="1:13">
      <c r="A26" s="21" t="s">
        <v>47</v>
      </c>
      <c r="B26" s="42">
        <v>0</v>
      </c>
      <c r="J26" t="s">
        <v>19</v>
      </c>
      <c r="L26" s="42">
        <v>167071</v>
      </c>
      <c r="M26" s="42">
        <v>50</v>
      </c>
    </row>
    <row r="27" spans="1:13">
      <c r="A27" s="21" t="s">
        <v>27</v>
      </c>
      <c r="B27" s="42">
        <v>0</v>
      </c>
    </row>
    <row r="28" spans="1:13">
      <c r="A28" s="21" t="s">
        <v>19</v>
      </c>
      <c r="B28" s="42">
        <v>167071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69C72-5D8C-41A5-84E3-407AE08C232E}">
  <sheetPr filterMode="1"/>
  <dimension ref="A1:BQ100"/>
  <sheetViews>
    <sheetView showGridLines="0" tabSelected="1" zoomScale="115" zoomScaleNormal="115" workbookViewId="0">
      <pane xSplit="9" ySplit="3" topLeftCell="J26" activePane="bottomRight" state="frozen"/>
      <selection pane="bottomRight" activeCell="O62" sqref="O62"/>
      <selection pane="bottomLeft" activeCell="A4" sqref="A4"/>
      <selection pane="topRight" activeCell="E1" sqref="E1"/>
    </sheetView>
  </sheetViews>
  <sheetFormatPr defaultColWidth="8.75" defaultRowHeight="15.75" outlineLevelCol="1"/>
  <cols>
    <col min="1" max="1" width="8.75" style="2"/>
    <col min="2" max="3" width="6.25" style="2" customWidth="1"/>
    <col min="4" max="4" width="26.25" style="18" bestFit="1" customWidth="1"/>
    <col min="5" max="5" width="11.375" style="18" bestFit="1" customWidth="1"/>
    <col min="6" max="6" width="17.75" style="19" customWidth="1"/>
    <col min="7" max="7" width="23.75" style="19" bestFit="1" customWidth="1"/>
    <col min="8" max="8" width="11.25" style="19" customWidth="1"/>
    <col min="9" max="9" width="9.875" style="3" customWidth="1"/>
    <col min="10" max="10" width="10.75" style="3" customWidth="1"/>
    <col min="11" max="11" width="6" style="4" customWidth="1"/>
    <col min="12" max="12" width="5.25" style="4" customWidth="1"/>
    <col min="13" max="15" width="9.875" style="4" customWidth="1"/>
    <col min="16" max="27" width="8.125" style="4" customWidth="1"/>
    <col min="28" max="28" width="9.625" style="4" bestFit="1" customWidth="1"/>
    <col min="29" max="29" width="1.875" style="4" customWidth="1"/>
    <col min="30" max="42" width="8.125" style="4" customWidth="1" outlineLevel="1"/>
    <col min="43" max="43" width="2.5" style="4" customWidth="1"/>
    <col min="44" max="55" width="8.125" style="2" customWidth="1" outlineLevel="1"/>
    <col min="56" max="56" width="3" style="2" customWidth="1"/>
    <col min="57" max="68" width="8.125" style="4" customWidth="1"/>
    <col min="69" max="69" width="9.625" style="4" bestFit="1" customWidth="1"/>
    <col min="70" max="16384" width="8.75" style="2"/>
  </cols>
  <sheetData>
    <row r="1" spans="1:69">
      <c r="P1" s="31" t="s">
        <v>48</v>
      </c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D1" s="33" t="s">
        <v>49</v>
      </c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BE1" s="40" t="s">
        <v>50</v>
      </c>
      <c r="BF1" s="41"/>
      <c r="BG1" s="41"/>
      <c r="BH1" s="41"/>
      <c r="BI1" s="41"/>
      <c r="BJ1" s="41"/>
      <c r="BK1" s="41"/>
      <c r="BL1" s="41"/>
      <c r="BM1" s="41"/>
      <c r="BN1" s="41"/>
      <c r="BO1" s="41"/>
      <c r="BP1" s="41"/>
      <c r="BQ1" s="41"/>
    </row>
    <row r="2" spans="1:69">
      <c r="M2" s="4" t="s">
        <v>51</v>
      </c>
      <c r="P2" s="35">
        <f>SUBTOTAL(9,P4:P9996)</f>
        <v>2000</v>
      </c>
      <c r="Q2" s="35">
        <f t="shared" ref="Q2:AB2" si="0">SUBTOTAL(9,Q4:Q9996)</f>
        <v>2000</v>
      </c>
      <c r="R2" s="35">
        <f t="shared" si="0"/>
        <v>0</v>
      </c>
      <c r="S2" s="35">
        <f t="shared" si="0"/>
        <v>0</v>
      </c>
      <c r="T2" s="35">
        <f t="shared" si="0"/>
        <v>1080</v>
      </c>
      <c r="U2" s="35">
        <f t="shared" si="0"/>
        <v>580</v>
      </c>
      <c r="V2" s="35">
        <f t="shared" si="0"/>
        <v>4890</v>
      </c>
      <c r="W2" s="35">
        <f t="shared" si="0"/>
        <v>6740</v>
      </c>
      <c r="X2" s="35">
        <f t="shared" si="0"/>
        <v>3390</v>
      </c>
      <c r="Y2" s="35">
        <f t="shared" si="0"/>
        <v>3540</v>
      </c>
      <c r="Z2" s="35">
        <f t="shared" si="0"/>
        <v>3540</v>
      </c>
      <c r="AA2" s="35">
        <f t="shared" si="0"/>
        <v>6170</v>
      </c>
      <c r="AB2" s="49">
        <f t="shared" si="0"/>
        <v>33930</v>
      </c>
      <c r="AC2" s="27"/>
      <c r="AD2" s="35">
        <f t="shared" ref="AD2:AP2" si="1">SUM(AD4:AD9996)</f>
        <v>6167.4</v>
      </c>
      <c r="AE2" s="35">
        <f t="shared" si="1"/>
        <v>5727.4</v>
      </c>
      <c r="AF2" s="35">
        <f t="shared" si="1"/>
        <v>5308.5</v>
      </c>
      <c r="AG2" s="35">
        <f t="shared" si="1"/>
        <v>4920</v>
      </c>
      <c r="AH2" s="35">
        <f t="shared" si="1"/>
        <v>5628</v>
      </c>
      <c r="AI2" s="35">
        <f t="shared" si="1"/>
        <v>5506.8</v>
      </c>
      <c r="AJ2" s="35">
        <f t="shared" si="1"/>
        <v>7173</v>
      </c>
      <c r="AK2" s="35">
        <f t="shared" si="1"/>
        <v>8123</v>
      </c>
      <c r="AL2" s="35">
        <f t="shared" si="1"/>
        <v>6298</v>
      </c>
      <c r="AM2" s="35">
        <f t="shared" si="1"/>
        <v>5838</v>
      </c>
      <c r="AN2" s="35">
        <f t="shared" si="1"/>
        <v>5838</v>
      </c>
      <c r="AO2" s="35">
        <f t="shared" si="1"/>
        <v>6963</v>
      </c>
      <c r="AP2" s="36">
        <f t="shared" si="1"/>
        <v>71091.100000000006</v>
      </c>
      <c r="BE2" s="35">
        <f t="shared" ref="BE2:BQ2" si="2">SUM(BE4:BE9996)</f>
        <v>12732</v>
      </c>
      <c r="BF2" s="35">
        <f t="shared" si="2"/>
        <v>11852</v>
      </c>
      <c r="BG2" s="35">
        <f t="shared" si="2"/>
        <v>11602</v>
      </c>
      <c r="BH2" s="35">
        <f t="shared" si="2"/>
        <v>10925</v>
      </c>
      <c r="BI2" s="35">
        <f t="shared" si="2"/>
        <v>12795</v>
      </c>
      <c r="BJ2" s="35">
        <f t="shared" si="2"/>
        <v>15143</v>
      </c>
      <c r="BK2" s="35">
        <f t="shared" si="2"/>
        <v>15977</v>
      </c>
      <c r="BL2" s="35">
        <f t="shared" si="2"/>
        <v>17432</v>
      </c>
      <c r="BM2" s="35">
        <f t="shared" si="2"/>
        <v>14782</v>
      </c>
      <c r="BN2" s="35">
        <f t="shared" si="2"/>
        <v>12587</v>
      </c>
      <c r="BO2" s="35">
        <f t="shared" si="2"/>
        <v>12587</v>
      </c>
      <c r="BP2" s="35">
        <f t="shared" si="2"/>
        <v>13902</v>
      </c>
      <c r="BQ2" s="36">
        <f t="shared" si="2"/>
        <v>156316</v>
      </c>
    </row>
    <row r="3" spans="1:69" s="1" customFormat="1" ht="18" customHeight="1">
      <c r="B3" s="6" t="s">
        <v>52</v>
      </c>
      <c r="C3" s="22" t="s">
        <v>53</v>
      </c>
      <c r="D3" s="5" t="s">
        <v>54</v>
      </c>
      <c r="E3" s="5" t="s">
        <v>55</v>
      </c>
      <c r="F3" s="5" t="s">
        <v>56</v>
      </c>
      <c r="G3" s="5" t="s">
        <v>57</v>
      </c>
      <c r="H3" s="5" t="s">
        <v>58</v>
      </c>
      <c r="I3" s="5" t="s">
        <v>59</v>
      </c>
      <c r="J3" s="5" t="s">
        <v>60</v>
      </c>
      <c r="K3" s="7" t="s">
        <v>61</v>
      </c>
      <c r="L3" s="7" t="s">
        <v>62</v>
      </c>
      <c r="M3" s="7" t="s">
        <v>1</v>
      </c>
      <c r="N3" s="7" t="s">
        <v>63</v>
      </c>
      <c r="O3" s="7" t="s">
        <v>64</v>
      </c>
      <c r="P3" s="8">
        <v>45931</v>
      </c>
      <c r="Q3" s="8">
        <v>45962</v>
      </c>
      <c r="R3" s="8">
        <v>45992</v>
      </c>
      <c r="S3" s="8">
        <v>46023</v>
      </c>
      <c r="T3" s="8">
        <v>46054</v>
      </c>
      <c r="U3" s="8">
        <v>46082</v>
      </c>
      <c r="V3" s="8">
        <v>46113</v>
      </c>
      <c r="W3" s="8">
        <v>46143</v>
      </c>
      <c r="X3" s="8">
        <v>46174</v>
      </c>
      <c r="Y3" s="8">
        <v>46204</v>
      </c>
      <c r="Z3" s="8">
        <v>46235</v>
      </c>
      <c r="AA3" s="8">
        <v>46266</v>
      </c>
      <c r="AB3" s="9" t="s">
        <v>65</v>
      </c>
      <c r="AC3" s="28"/>
      <c r="AD3" s="30">
        <v>45931</v>
      </c>
      <c r="AE3" s="8">
        <v>45962</v>
      </c>
      <c r="AF3" s="8">
        <v>45992</v>
      </c>
      <c r="AG3" s="8">
        <v>46023</v>
      </c>
      <c r="AH3" s="8">
        <v>46054</v>
      </c>
      <c r="AI3" s="8">
        <v>46082</v>
      </c>
      <c r="AJ3" s="8">
        <v>46113</v>
      </c>
      <c r="AK3" s="8">
        <v>46143</v>
      </c>
      <c r="AL3" s="8">
        <v>46174</v>
      </c>
      <c r="AM3" s="8">
        <v>46204</v>
      </c>
      <c r="AN3" s="8">
        <v>46235</v>
      </c>
      <c r="AO3" s="8">
        <v>46266</v>
      </c>
      <c r="AP3" s="9" t="s">
        <v>65</v>
      </c>
      <c r="AQ3" s="28"/>
      <c r="AR3" s="30">
        <v>45931</v>
      </c>
      <c r="AS3" s="8">
        <v>45962</v>
      </c>
      <c r="AT3" s="8">
        <v>45992</v>
      </c>
      <c r="AU3" s="8">
        <v>46023</v>
      </c>
      <c r="AV3" s="8">
        <v>46054</v>
      </c>
      <c r="AW3" s="8">
        <v>46082</v>
      </c>
      <c r="AX3" s="8">
        <v>46113</v>
      </c>
      <c r="AY3" s="8">
        <v>46143</v>
      </c>
      <c r="AZ3" s="8">
        <v>46174</v>
      </c>
      <c r="BA3" s="8">
        <v>46204</v>
      </c>
      <c r="BB3" s="8">
        <v>46235</v>
      </c>
      <c r="BC3" s="8">
        <v>46266</v>
      </c>
      <c r="BE3" s="8">
        <v>45931</v>
      </c>
      <c r="BF3" s="8">
        <v>45962</v>
      </c>
      <c r="BG3" s="8">
        <v>45992</v>
      </c>
      <c r="BH3" s="8">
        <v>46023</v>
      </c>
      <c r="BI3" s="8">
        <v>46054</v>
      </c>
      <c r="BJ3" s="8">
        <v>46082</v>
      </c>
      <c r="BK3" s="8">
        <v>46113</v>
      </c>
      <c r="BL3" s="8">
        <v>46143</v>
      </c>
      <c r="BM3" s="8">
        <v>46174</v>
      </c>
      <c r="BN3" s="8">
        <v>46204</v>
      </c>
      <c r="BO3" s="8">
        <v>46235</v>
      </c>
      <c r="BP3" s="8">
        <v>46266</v>
      </c>
      <c r="BQ3" s="9" t="s">
        <v>65</v>
      </c>
    </row>
    <row r="4" spans="1:69" s="16" customFormat="1" ht="18" hidden="1" customHeight="1">
      <c r="B4" s="12">
        <v>4</v>
      </c>
      <c r="C4" s="12"/>
      <c r="D4" s="10" t="s">
        <v>66</v>
      </c>
      <c r="E4" s="10" t="s">
        <v>67</v>
      </c>
      <c r="F4" s="11" t="s">
        <v>68</v>
      </c>
      <c r="G4" s="11" t="s">
        <v>69</v>
      </c>
      <c r="H4" s="11" t="s">
        <v>70</v>
      </c>
      <c r="I4" s="13">
        <v>1</v>
      </c>
      <c r="J4" s="13">
        <v>0.8</v>
      </c>
      <c r="K4" s="12"/>
      <c r="L4" s="12"/>
      <c r="M4" s="12" t="s">
        <v>71</v>
      </c>
      <c r="N4" s="12" t="s">
        <v>72</v>
      </c>
      <c r="O4" s="12"/>
      <c r="P4" s="14">
        <v>0</v>
      </c>
      <c r="Q4" s="14">
        <v>0</v>
      </c>
      <c r="R4" s="14">
        <v>450</v>
      </c>
      <c r="S4" s="14">
        <v>450</v>
      </c>
      <c r="T4" s="14">
        <v>750</v>
      </c>
      <c r="U4" s="14">
        <v>450</v>
      </c>
      <c r="V4" s="14">
        <v>0</v>
      </c>
      <c r="W4" s="14">
        <v>0</v>
      </c>
      <c r="X4" s="14">
        <v>0</v>
      </c>
      <c r="Y4" s="14">
        <v>0</v>
      </c>
      <c r="Z4" s="14">
        <v>0</v>
      </c>
      <c r="AA4" s="14">
        <v>0</v>
      </c>
      <c r="AB4" s="37">
        <f t="shared" ref="AB4:AB17" si="3">SUM(P4:AA4)</f>
        <v>2100</v>
      </c>
      <c r="AC4" s="29"/>
      <c r="AD4" s="38">
        <f t="shared" ref="AD4:AO8" si="4">P4*$J4</f>
        <v>0</v>
      </c>
      <c r="AE4" s="38">
        <f t="shared" si="4"/>
        <v>0</v>
      </c>
      <c r="AF4" s="38">
        <f t="shared" si="4"/>
        <v>360</v>
      </c>
      <c r="AG4" s="38">
        <f t="shared" si="4"/>
        <v>360</v>
      </c>
      <c r="AH4" s="38">
        <f t="shared" si="4"/>
        <v>600</v>
      </c>
      <c r="AI4" s="38">
        <f t="shared" si="4"/>
        <v>360</v>
      </c>
      <c r="AJ4" s="38">
        <f t="shared" si="4"/>
        <v>0</v>
      </c>
      <c r="AK4" s="38">
        <f t="shared" si="4"/>
        <v>0</v>
      </c>
      <c r="AL4" s="38">
        <f t="shared" si="4"/>
        <v>0</v>
      </c>
      <c r="AM4" s="38">
        <f t="shared" si="4"/>
        <v>0</v>
      </c>
      <c r="AN4" s="38">
        <f t="shared" si="4"/>
        <v>0</v>
      </c>
      <c r="AO4" s="38">
        <f t="shared" si="4"/>
        <v>0</v>
      </c>
      <c r="AP4" s="39">
        <f t="shared" ref="AP4:AP25" si="5">SUM(AD4:AO4)</f>
        <v>1680</v>
      </c>
      <c r="AQ4" s="29"/>
      <c r="AR4" s="15" t="str">
        <f t="shared" ref="AR4:BC8" si="6">IFERROR((P4-AD4)/P4,"")</f>
        <v/>
      </c>
      <c r="AS4" s="15" t="str">
        <f t="shared" si="6"/>
        <v/>
      </c>
      <c r="AT4" s="15">
        <f t="shared" si="6"/>
        <v>0.2</v>
      </c>
      <c r="AU4" s="15">
        <f t="shared" si="6"/>
        <v>0.2</v>
      </c>
      <c r="AV4" s="15">
        <f t="shared" si="6"/>
        <v>0.2</v>
      </c>
      <c r="AW4" s="15">
        <f t="shared" si="6"/>
        <v>0.2</v>
      </c>
      <c r="AX4" s="15" t="str">
        <f t="shared" si="6"/>
        <v/>
      </c>
      <c r="AY4" s="15" t="str">
        <f t="shared" si="6"/>
        <v/>
      </c>
      <c r="AZ4" s="15" t="str">
        <f t="shared" si="6"/>
        <v/>
      </c>
      <c r="BA4" s="15" t="str">
        <f t="shared" si="6"/>
        <v/>
      </c>
      <c r="BB4" s="15" t="str">
        <f t="shared" si="6"/>
        <v/>
      </c>
      <c r="BC4" s="15" t="str">
        <f t="shared" si="6"/>
        <v/>
      </c>
      <c r="BE4" s="14">
        <f>$I4*P4</f>
        <v>0</v>
      </c>
      <c r="BF4" s="14">
        <f>$I4*Q4</f>
        <v>0</v>
      </c>
      <c r="BG4" s="14">
        <f t="shared" ref="BG4:BP4" si="7">$I4*R4</f>
        <v>450</v>
      </c>
      <c r="BH4" s="14">
        <f t="shared" si="7"/>
        <v>450</v>
      </c>
      <c r="BI4" s="14">
        <f t="shared" si="7"/>
        <v>750</v>
      </c>
      <c r="BJ4" s="14">
        <f t="shared" si="7"/>
        <v>450</v>
      </c>
      <c r="BK4" s="14">
        <f t="shared" si="7"/>
        <v>0</v>
      </c>
      <c r="BL4" s="14">
        <f t="shared" si="7"/>
        <v>0</v>
      </c>
      <c r="BM4" s="14">
        <f t="shared" si="7"/>
        <v>0</v>
      </c>
      <c r="BN4" s="14">
        <f t="shared" si="7"/>
        <v>0</v>
      </c>
      <c r="BO4" s="14">
        <f t="shared" si="7"/>
        <v>0</v>
      </c>
      <c r="BP4" s="14">
        <f t="shared" si="7"/>
        <v>0</v>
      </c>
      <c r="BQ4" s="37">
        <f t="shared" ref="BQ4:BQ17" si="8">SUM(BE4:BP4)</f>
        <v>2100</v>
      </c>
    </row>
    <row r="5" spans="1:69" s="16" customFormat="1" ht="18" hidden="1" customHeight="1">
      <c r="B5" s="12">
        <v>5</v>
      </c>
      <c r="C5" s="12"/>
      <c r="D5" s="10" t="s">
        <v>66</v>
      </c>
      <c r="E5" s="10" t="s">
        <v>67</v>
      </c>
      <c r="F5" s="11" t="s">
        <v>68</v>
      </c>
      <c r="G5" s="11" t="s">
        <v>73</v>
      </c>
      <c r="H5" s="11" t="s">
        <v>70</v>
      </c>
      <c r="I5" s="13">
        <v>1</v>
      </c>
      <c r="J5" s="13">
        <v>0.8</v>
      </c>
      <c r="K5" s="12"/>
      <c r="L5" s="12"/>
      <c r="M5" s="12" t="s">
        <v>71</v>
      </c>
      <c r="N5" s="12" t="s">
        <v>72</v>
      </c>
      <c r="O5" s="12"/>
      <c r="P5" s="14"/>
      <c r="Q5" s="14"/>
      <c r="R5" s="14"/>
      <c r="S5" s="14">
        <v>600</v>
      </c>
      <c r="T5" s="14">
        <v>160</v>
      </c>
      <c r="U5" s="14">
        <v>160</v>
      </c>
      <c r="V5" s="14">
        <v>160</v>
      </c>
      <c r="W5" s="14">
        <v>160</v>
      </c>
      <c r="X5" s="14">
        <v>160</v>
      </c>
      <c r="Y5" s="14">
        <v>160</v>
      </c>
      <c r="Z5" s="14">
        <v>160</v>
      </c>
      <c r="AA5" s="14">
        <v>160</v>
      </c>
      <c r="AB5" s="37">
        <f t="shared" si="3"/>
        <v>1880</v>
      </c>
      <c r="AC5" s="29"/>
      <c r="AD5" s="38">
        <f t="shared" si="4"/>
        <v>0</v>
      </c>
      <c r="AE5" s="38">
        <f t="shared" si="4"/>
        <v>0</v>
      </c>
      <c r="AF5" s="38">
        <f t="shared" si="4"/>
        <v>0</v>
      </c>
      <c r="AG5" s="38">
        <f t="shared" si="4"/>
        <v>480</v>
      </c>
      <c r="AH5" s="38">
        <f t="shared" si="4"/>
        <v>128</v>
      </c>
      <c r="AI5" s="38">
        <f t="shared" si="4"/>
        <v>128</v>
      </c>
      <c r="AJ5" s="38">
        <f t="shared" si="4"/>
        <v>128</v>
      </c>
      <c r="AK5" s="38">
        <f t="shared" si="4"/>
        <v>128</v>
      </c>
      <c r="AL5" s="38">
        <f t="shared" si="4"/>
        <v>128</v>
      </c>
      <c r="AM5" s="38">
        <f t="shared" si="4"/>
        <v>128</v>
      </c>
      <c r="AN5" s="38">
        <f t="shared" si="4"/>
        <v>128</v>
      </c>
      <c r="AO5" s="38">
        <f t="shared" si="4"/>
        <v>128</v>
      </c>
      <c r="AP5" s="39">
        <f t="shared" si="5"/>
        <v>1504</v>
      </c>
      <c r="AQ5" s="29"/>
      <c r="AR5" s="15" t="str">
        <f t="shared" si="6"/>
        <v/>
      </c>
      <c r="AS5" s="15" t="str">
        <f t="shared" si="6"/>
        <v/>
      </c>
      <c r="AT5" s="15" t="str">
        <f t="shared" si="6"/>
        <v/>
      </c>
      <c r="AU5" s="15">
        <f t="shared" si="6"/>
        <v>0.2</v>
      </c>
      <c r="AV5" s="15">
        <f t="shared" si="6"/>
        <v>0.2</v>
      </c>
      <c r="AW5" s="15">
        <f t="shared" si="6"/>
        <v>0.2</v>
      </c>
      <c r="AX5" s="15">
        <f t="shared" si="6"/>
        <v>0.2</v>
      </c>
      <c r="AY5" s="15">
        <f t="shared" si="6"/>
        <v>0.2</v>
      </c>
      <c r="AZ5" s="15">
        <f t="shared" si="6"/>
        <v>0.2</v>
      </c>
      <c r="BA5" s="15">
        <f t="shared" si="6"/>
        <v>0.2</v>
      </c>
      <c r="BB5" s="15">
        <f t="shared" si="6"/>
        <v>0.2</v>
      </c>
      <c r="BC5" s="15">
        <f t="shared" si="6"/>
        <v>0.2</v>
      </c>
      <c r="BE5" s="14">
        <f t="shared" ref="BE5:BE67" si="9">$I5*P5</f>
        <v>0</v>
      </c>
      <c r="BF5" s="14">
        <f t="shared" ref="BF5:BF67" si="10">$I5*Q5</f>
        <v>0</v>
      </c>
      <c r="BG5" s="14">
        <f t="shared" ref="BG5:BG67" si="11">$I5*R5</f>
        <v>0</v>
      </c>
      <c r="BH5" s="14">
        <f t="shared" ref="BH5:BH67" si="12">$I5*S5</f>
        <v>600</v>
      </c>
      <c r="BI5" s="14">
        <f t="shared" ref="BI5:BI67" si="13">$I5*T5</f>
        <v>160</v>
      </c>
      <c r="BJ5" s="14">
        <f t="shared" ref="BJ5:BJ67" si="14">$I5*U5</f>
        <v>160</v>
      </c>
      <c r="BK5" s="14">
        <f t="shared" ref="BK5:BK67" si="15">$I5*V5</f>
        <v>160</v>
      </c>
      <c r="BL5" s="14">
        <f t="shared" ref="BL5:BL67" si="16">$I5*W5</f>
        <v>160</v>
      </c>
      <c r="BM5" s="14">
        <f t="shared" ref="BM5:BM67" si="17">$I5*X5</f>
        <v>160</v>
      </c>
      <c r="BN5" s="14">
        <f t="shared" ref="BN5:BN67" si="18">$I5*Y5</f>
        <v>160</v>
      </c>
      <c r="BO5" s="14">
        <f t="shared" ref="BO5:BO67" si="19">$I5*Z5</f>
        <v>160</v>
      </c>
      <c r="BP5" s="14">
        <f t="shared" ref="BP5:BP67" si="20">$I5*AA5</f>
        <v>160</v>
      </c>
      <c r="BQ5" s="37">
        <f t="shared" si="8"/>
        <v>1880</v>
      </c>
    </row>
    <row r="6" spans="1:69" s="16" customFormat="1" ht="18" customHeight="1">
      <c r="B6" s="12">
        <v>6</v>
      </c>
      <c r="C6" s="12"/>
      <c r="D6" s="10" t="s">
        <v>66</v>
      </c>
      <c r="E6" s="10" t="s">
        <v>67</v>
      </c>
      <c r="F6" s="11" t="s">
        <v>68</v>
      </c>
      <c r="G6" s="11" t="s">
        <v>74</v>
      </c>
      <c r="H6" s="11" t="s">
        <v>75</v>
      </c>
      <c r="I6" s="13">
        <v>0.5</v>
      </c>
      <c r="J6" s="13">
        <v>0.2</v>
      </c>
      <c r="K6" s="12"/>
      <c r="L6" s="12"/>
      <c r="M6" s="12" t="s">
        <v>76</v>
      </c>
      <c r="N6" s="12" t="s">
        <v>72</v>
      </c>
      <c r="O6" s="12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37">
        <f t="shared" si="3"/>
        <v>0</v>
      </c>
      <c r="AC6" s="29"/>
      <c r="AD6" s="38">
        <f t="shared" si="4"/>
        <v>0</v>
      </c>
      <c r="AE6" s="38">
        <f t="shared" si="4"/>
        <v>0</v>
      </c>
      <c r="AF6" s="38">
        <f t="shared" si="4"/>
        <v>0</v>
      </c>
      <c r="AG6" s="38">
        <f t="shared" si="4"/>
        <v>0</v>
      </c>
      <c r="AH6" s="38">
        <f t="shared" si="4"/>
        <v>0</v>
      </c>
      <c r="AI6" s="38">
        <f t="shared" si="4"/>
        <v>0</v>
      </c>
      <c r="AJ6" s="38">
        <f t="shared" si="4"/>
        <v>0</v>
      </c>
      <c r="AK6" s="38">
        <f t="shared" si="4"/>
        <v>0</v>
      </c>
      <c r="AL6" s="38">
        <f t="shared" si="4"/>
        <v>0</v>
      </c>
      <c r="AM6" s="38">
        <f t="shared" si="4"/>
        <v>0</v>
      </c>
      <c r="AN6" s="38">
        <f t="shared" si="4"/>
        <v>0</v>
      </c>
      <c r="AO6" s="38">
        <f t="shared" si="4"/>
        <v>0</v>
      </c>
      <c r="AP6" s="39">
        <f t="shared" si="5"/>
        <v>0</v>
      </c>
      <c r="AQ6" s="29"/>
      <c r="AR6" s="15" t="str">
        <f t="shared" si="6"/>
        <v/>
      </c>
      <c r="AS6" s="15" t="str">
        <f t="shared" si="6"/>
        <v/>
      </c>
      <c r="AT6" s="15" t="str">
        <f t="shared" si="6"/>
        <v/>
      </c>
      <c r="AU6" s="15" t="str">
        <f t="shared" si="6"/>
        <v/>
      </c>
      <c r="AV6" s="15" t="str">
        <f t="shared" si="6"/>
        <v/>
      </c>
      <c r="AW6" s="15" t="str">
        <f t="shared" si="6"/>
        <v/>
      </c>
      <c r="AX6" s="15" t="str">
        <f t="shared" si="6"/>
        <v/>
      </c>
      <c r="AY6" s="15" t="str">
        <f t="shared" si="6"/>
        <v/>
      </c>
      <c r="AZ6" s="15" t="str">
        <f t="shared" si="6"/>
        <v/>
      </c>
      <c r="BA6" s="15" t="str">
        <f t="shared" si="6"/>
        <v/>
      </c>
      <c r="BB6" s="15" t="str">
        <f t="shared" si="6"/>
        <v/>
      </c>
      <c r="BC6" s="15" t="str">
        <f t="shared" si="6"/>
        <v/>
      </c>
      <c r="BE6" s="14">
        <f t="shared" si="9"/>
        <v>0</v>
      </c>
      <c r="BF6" s="14">
        <f t="shared" si="10"/>
        <v>0</v>
      </c>
      <c r="BG6" s="14">
        <f t="shared" si="11"/>
        <v>0</v>
      </c>
      <c r="BH6" s="14">
        <f t="shared" si="12"/>
        <v>0</v>
      </c>
      <c r="BI6" s="14">
        <f t="shared" si="13"/>
        <v>0</v>
      </c>
      <c r="BJ6" s="14">
        <f t="shared" si="14"/>
        <v>0</v>
      </c>
      <c r="BK6" s="14">
        <f t="shared" si="15"/>
        <v>0</v>
      </c>
      <c r="BL6" s="14">
        <f t="shared" si="16"/>
        <v>0</v>
      </c>
      <c r="BM6" s="14">
        <f t="shared" si="17"/>
        <v>0</v>
      </c>
      <c r="BN6" s="14">
        <f t="shared" si="18"/>
        <v>0</v>
      </c>
      <c r="BO6" s="14">
        <f t="shared" si="19"/>
        <v>0</v>
      </c>
      <c r="BP6" s="14">
        <f t="shared" si="20"/>
        <v>0</v>
      </c>
      <c r="BQ6" s="37">
        <f t="shared" si="8"/>
        <v>0</v>
      </c>
    </row>
    <row r="7" spans="1:69" s="16" customFormat="1" ht="18" hidden="1" customHeight="1">
      <c r="A7" s="17"/>
      <c r="B7" s="12">
        <v>8</v>
      </c>
      <c r="C7" s="12"/>
      <c r="D7" s="10" t="s">
        <v>66</v>
      </c>
      <c r="E7" s="10" t="s">
        <v>67</v>
      </c>
      <c r="F7" s="11" t="s">
        <v>68</v>
      </c>
      <c r="G7" s="11" t="s">
        <v>77</v>
      </c>
      <c r="H7" s="11" t="s">
        <v>70</v>
      </c>
      <c r="I7" s="13">
        <v>1</v>
      </c>
      <c r="J7" s="13">
        <v>0.1</v>
      </c>
      <c r="K7" s="12"/>
      <c r="L7" s="12"/>
      <c r="M7" s="12" t="s">
        <v>76</v>
      </c>
      <c r="N7" s="12" t="s">
        <v>78</v>
      </c>
      <c r="O7" s="12"/>
      <c r="P7" s="14">
        <v>900</v>
      </c>
      <c r="Q7" s="14">
        <v>900</v>
      </c>
      <c r="R7" s="14">
        <v>900</v>
      </c>
      <c r="S7" s="14">
        <v>2400</v>
      </c>
      <c r="T7" s="14">
        <v>2400</v>
      </c>
      <c r="U7" s="14">
        <v>2400</v>
      </c>
      <c r="V7" s="14">
        <v>2400</v>
      </c>
      <c r="W7" s="14">
        <v>2400</v>
      </c>
      <c r="X7" s="14">
        <v>2400</v>
      </c>
      <c r="Y7" s="14">
        <v>2400</v>
      </c>
      <c r="Z7" s="14">
        <v>2400</v>
      </c>
      <c r="AA7" s="14">
        <v>2400</v>
      </c>
      <c r="AB7" s="37">
        <f t="shared" si="3"/>
        <v>24300</v>
      </c>
      <c r="AC7" s="29"/>
      <c r="AD7" s="38">
        <f t="shared" si="4"/>
        <v>90</v>
      </c>
      <c r="AE7" s="38">
        <f t="shared" si="4"/>
        <v>90</v>
      </c>
      <c r="AF7" s="38">
        <f t="shared" si="4"/>
        <v>90</v>
      </c>
      <c r="AG7" s="38">
        <f t="shared" si="4"/>
        <v>240</v>
      </c>
      <c r="AH7" s="38">
        <f t="shared" si="4"/>
        <v>240</v>
      </c>
      <c r="AI7" s="38">
        <f t="shared" si="4"/>
        <v>240</v>
      </c>
      <c r="AJ7" s="38">
        <f t="shared" si="4"/>
        <v>240</v>
      </c>
      <c r="AK7" s="38">
        <f t="shared" si="4"/>
        <v>240</v>
      </c>
      <c r="AL7" s="38">
        <f t="shared" si="4"/>
        <v>240</v>
      </c>
      <c r="AM7" s="38">
        <f t="shared" si="4"/>
        <v>240</v>
      </c>
      <c r="AN7" s="38">
        <f t="shared" si="4"/>
        <v>240</v>
      </c>
      <c r="AO7" s="38">
        <f t="shared" si="4"/>
        <v>240</v>
      </c>
      <c r="AP7" s="39">
        <f t="shared" si="5"/>
        <v>2430</v>
      </c>
      <c r="AQ7" s="29"/>
      <c r="AR7" s="15">
        <f t="shared" si="6"/>
        <v>0.9</v>
      </c>
      <c r="AS7" s="15">
        <f t="shared" si="6"/>
        <v>0.9</v>
      </c>
      <c r="AT7" s="15">
        <f t="shared" si="6"/>
        <v>0.9</v>
      </c>
      <c r="AU7" s="15">
        <f t="shared" si="6"/>
        <v>0.9</v>
      </c>
      <c r="AV7" s="15">
        <f t="shared" si="6"/>
        <v>0.9</v>
      </c>
      <c r="AW7" s="15">
        <f t="shared" si="6"/>
        <v>0.9</v>
      </c>
      <c r="AX7" s="15">
        <f t="shared" si="6"/>
        <v>0.9</v>
      </c>
      <c r="AY7" s="15">
        <f t="shared" si="6"/>
        <v>0.9</v>
      </c>
      <c r="AZ7" s="15">
        <f t="shared" si="6"/>
        <v>0.9</v>
      </c>
      <c r="BA7" s="15">
        <f t="shared" si="6"/>
        <v>0.9</v>
      </c>
      <c r="BB7" s="15">
        <f t="shared" si="6"/>
        <v>0.9</v>
      </c>
      <c r="BC7" s="15">
        <f t="shared" si="6"/>
        <v>0.9</v>
      </c>
      <c r="BE7" s="14">
        <f t="shared" si="9"/>
        <v>900</v>
      </c>
      <c r="BF7" s="14">
        <f t="shared" si="10"/>
        <v>900</v>
      </c>
      <c r="BG7" s="14">
        <f t="shared" si="11"/>
        <v>900</v>
      </c>
      <c r="BH7" s="14">
        <f t="shared" si="12"/>
        <v>2400</v>
      </c>
      <c r="BI7" s="14">
        <f t="shared" si="13"/>
        <v>2400</v>
      </c>
      <c r="BJ7" s="14">
        <f t="shared" si="14"/>
        <v>2400</v>
      </c>
      <c r="BK7" s="14">
        <f t="shared" si="15"/>
        <v>2400</v>
      </c>
      <c r="BL7" s="14">
        <f t="shared" si="16"/>
        <v>2400</v>
      </c>
      <c r="BM7" s="14">
        <f t="shared" si="17"/>
        <v>2400</v>
      </c>
      <c r="BN7" s="14">
        <f t="shared" si="18"/>
        <v>2400</v>
      </c>
      <c r="BO7" s="14">
        <f t="shared" si="19"/>
        <v>2400</v>
      </c>
      <c r="BP7" s="14">
        <f t="shared" si="20"/>
        <v>2400</v>
      </c>
      <c r="BQ7" s="37">
        <f t="shared" si="8"/>
        <v>24300</v>
      </c>
    </row>
    <row r="8" spans="1:69" s="16" customFormat="1" ht="18" hidden="1" customHeight="1">
      <c r="A8" s="17"/>
      <c r="B8" s="12">
        <v>31</v>
      </c>
      <c r="C8" s="12"/>
      <c r="D8" s="10" t="s">
        <v>66</v>
      </c>
      <c r="E8" s="10" t="s">
        <v>67</v>
      </c>
      <c r="F8" s="11" t="s">
        <v>68</v>
      </c>
      <c r="G8" s="11" t="s">
        <v>79</v>
      </c>
      <c r="H8" s="11" t="s">
        <v>70</v>
      </c>
      <c r="I8" s="13">
        <v>1</v>
      </c>
      <c r="J8" s="13">
        <v>0.5</v>
      </c>
      <c r="K8" s="12"/>
      <c r="L8" s="12"/>
      <c r="M8" s="12" t="s">
        <v>76</v>
      </c>
      <c r="N8" s="12" t="s">
        <v>76</v>
      </c>
      <c r="O8" s="12"/>
      <c r="P8" s="14"/>
      <c r="Q8" s="14"/>
      <c r="R8" s="14"/>
      <c r="S8" s="14"/>
      <c r="T8" s="14"/>
      <c r="U8" s="14"/>
      <c r="V8" s="14">
        <v>800</v>
      </c>
      <c r="W8" s="14">
        <v>800</v>
      </c>
      <c r="X8" s="14">
        <v>800</v>
      </c>
      <c r="Y8" s="14">
        <v>800</v>
      </c>
      <c r="Z8" s="14">
        <v>800</v>
      </c>
      <c r="AA8" s="14">
        <v>800</v>
      </c>
      <c r="AB8" s="37">
        <f t="shared" si="3"/>
        <v>4800</v>
      </c>
      <c r="AC8" s="29"/>
      <c r="AD8" s="38">
        <f t="shared" si="4"/>
        <v>0</v>
      </c>
      <c r="AE8" s="38">
        <f t="shared" si="4"/>
        <v>0</v>
      </c>
      <c r="AF8" s="38">
        <f t="shared" si="4"/>
        <v>0</v>
      </c>
      <c r="AG8" s="38">
        <f t="shared" si="4"/>
        <v>0</v>
      </c>
      <c r="AH8" s="38">
        <f t="shared" si="4"/>
        <v>0</v>
      </c>
      <c r="AI8" s="38">
        <f t="shared" si="4"/>
        <v>0</v>
      </c>
      <c r="AJ8" s="38">
        <f t="shared" si="4"/>
        <v>400</v>
      </c>
      <c r="AK8" s="38">
        <f t="shared" si="4"/>
        <v>400</v>
      </c>
      <c r="AL8" s="38">
        <f t="shared" si="4"/>
        <v>400</v>
      </c>
      <c r="AM8" s="38">
        <f t="shared" si="4"/>
        <v>400</v>
      </c>
      <c r="AN8" s="38">
        <f t="shared" si="4"/>
        <v>400</v>
      </c>
      <c r="AO8" s="38">
        <f t="shared" si="4"/>
        <v>400</v>
      </c>
      <c r="AP8" s="39">
        <f t="shared" si="5"/>
        <v>2400</v>
      </c>
      <c r="AQ8" s="29"/>
      <c r="AR8" s="15" t="str">
        <f t="shared" si="6"/>
        <v/>
      </c>
      <c r="AS8" s="15" t="str">
        <f t="shared" si="6"/>
        <v/>
      </c>
      <c r="AT8" s="15" t="str">
        <f t="shared" si="6"/>
        <v/>
      </c>
      <c r="AU8" s="15" t="str">
        <f t="shared" si="6"/>
        <v/>
      </c>
      <c r="AV8" s="15" t="str">
        <f t="shared" si="6"/>
        <v/>
      </c>
      <c r="AW8" s="15" t="str">
        <f t="shared" si="6"/>
        <v/>
      </c>
      <c r="AX8" s="15">
        <f t="shared" si="6"/>
        <v>0.5</v>
      </c>
      <c r="AY8" s="15">
        <f t="shared" si="6"/>
        <v>0.5</v>
      </c>
      <c r="AZ8" s="15">
        <f t="shared" si="6"/>
        <v>0.5</v>
      </c>
      <c r="BA8" s="15">
        <f t="shared" si="6"/>
        <v>0.5</v>
      </c>
      <c r="BB8" s="15">
        <f t="shared" si="6"/>
        <v>0.5</v>
      </c>
      <c r="BC8" s="15">
        <f t="shared" si="6"/>
        <v>0.5</v>
      </c>
      <c r="BE8" s="14">
        <f t="shared" si="9"/>
        <v>0</v>
      </c>
      <c r="BF8" s="14">
        <f t="shared" si="10"/>
        <v>0</v>
      </c>
      <c r="BG8" s="14">
        <f t="shared" si="11"/>
        <v>0</v>
      </c>
      <c r="BH8" s="14">
        <f t="shared" si="12"/>
        <v>0</v>
      </c>
      <c r="BI8" s="14">
        <f t="shared" si="13"/>
        <v>0</v>
      </c>
      <c r="BJ8" s="14">
        <f t="shared" si="14"/>
        <v>0</v>
      </c>
      <c r="BK8" s="14">
        <f t="shared" si="15"/>
        <v>800</v>
      </c>
      <c r="BL8" s="14">
        <f t="shared" si="16"/>
        <v>800</v>
      </c>
      <c r="BM8" s="14">
        <f t="shared" si="17"/>
        <v>800</v>
      </c>
      <c r="BN8" s="14">
        <f t="shared" si="18"/>
        <v>800</v>
      </c>
      <c r="BO8" s="14">
        <f t="shared" si="19"/>
        <v>800</v>
      </c>
      <c r="BP8" s="14">
        <f t="shared" si="20"/>
        <v>800</v>
      </c>
      <c r="BQ8" s="37">
        <f t="shared" si="8"/>
        <v>4800</v>
      </c>
    </row>
    <row r="9" spans="1:69" s="16" customFormat="1" ht="18" hidden="1" customHeight="1">
      <c r="A9" s="17"/>
      <c r="B9" s="12">
        <v>32</v>
      </c>
      <c r="C9" s="12"/>
      <c r="D9" s="10" t="s">
        <v>66</v>
      </c>
      <c r="E9" s="10" t="s">
        <v>67</v>
      </c>
      <c r="F9" s="11" t="s">
        <v>68</v>
      </c>
      <c r="G9" s="11" t="s">
        <v>80</v>
      </c>
      <c r="H9" s="11" t="s">
        <v>70</v>
      </c>
      <c r="I9" s="13">
        <v>1</v>
      </c>
      <c r="J9" s="13">
        <v>0.5</v>
      </c>
      <c r="K9" s="12"/>
      <c r="L9" s="12"/>
      <c r="M9" s="12" t="s">
        <v>72</v>
      </c>
      <c r="N9" s="12" t="s">
        <v>81</v>
      </c>
      <c r="O9" s="12"/>
      <c r="P9" s="14">
        <v>500</v>
      </c>
      <c r="Q9" s="14">
        <v>1000</v>
      </c>
      <c r="R9" s="14">
        <v>500</v>
      </c>
      <c r="S9" s="14"/>
      <c r="T9" s="14">
        <v>100</v>
      </c>
      <c r="U9" s="14"/>
      <c r="V9" s="14"/>
      <c r="W9" s="14"/>
      <c r="X9" s="14"/>
      <c r="Y9" s="14"/>
      <c r="Z9" s="14"/>
      <c r="AA9" s="14"/>
      <c r="AB9" s="37">
        <f t="shared" si="3"/>
        <v>2100</v>
      </c>
      <c r="AC9" s="29"/>
      <c r="AD9" s="38">
        <f t="shared" ref="AD9:AD40" si="21">P9*$J9</f>
        <v>250</v>
      </c>
      <c r="AE9" s="38">
        <f t="shared" ref="AE9:AE40" si="22">Q9*$J9</f>
        <v>500</v>
      </c>
      <c r="AF9" s="38">
        <f t="shared" ref="AF9:AG12" si="23">R10*$J9</f>
        <v>750</v>
      </c>
      <c r="AG9" s="38">
        <f t="shared" si="23"/>
        <v>250</v>
      </c>
      <c r="AH9" s="38">
        <f t="shared" ref="AH9:AH40" si="24">T9*$J9</f>
        <v>50</v>
      </c>
      <c r="AI9" s="38">
        <f t="shared" ref="AI9:AI40" si="25">U9*$J9</f>
        <v>0</v>
      </c>
      <c r="AJ9" s="38">
        <f t="shared" ref="AJ9:AJ40" si="26">V9*$J9</f>
        <v>0</v>
      </c>
      <c r="AK9" s="38">
        <f t="shared" ref="AK9:AK40" si="27">W9*$J9</f>
        <v>0</v>
      </c>
      <c r="AL9" s="38">
        <f t="shared" ref="AL9:AL40" si="28">X9*$J9</f>
        <v>0</v>
      </c>
      <c r="AM9" s="38">
        <f t="shared" ref="AM9:AM40" si="29">Y9*$J9</f>
        <v>0</v>
      </c>
      <c r="AN9" s="38">
        <f t="shared" ref="AN9:AN40" si="30">Z9*$J9</f>
        <v>0</v>
      </c>
      <c r="AO9" s="38">
        <f t="shared" ref="AO9:AO40" si="31">AA9*$J9</f>
        <v>0</v>
      </c>
      <c r="AP9" s="39">
        <f t="shared" si="5"/>
        <v>1800</v>
      </c>
      <c r="AQ9" s="29"/>
      <c r="AR9" s="15">
        <f t="shared" ref="AR9:AR17" si="32">IFERROR((P9-AD9)/P9,"")</f>
        <v>0.5</v>
      </c>
      <c r="AS9" s="15">
        <f t="shared" ref="AS9:AS17" si="33">IFERROR((Q9-AE9)/Q9,"")</f>
        <v>0.5</v>
      </c>
      <c r="AT9" s="15">
        <f>IFERROR((R10-AF9)/R10,"")</f>
        <v>0.5</v>
      </c>
      <c r="AU9" s="15">
        <f>IFERROR((S10-AG9)/S10,"")</f>
        <v>0.5</v>
      </c>
      <c r="AV9" s="15">
        <f t="shared" ref="AV9:AV17" si="34">IFERROR((T9-AH9)/T9,"")</f>
        <v>0.5</v>
      </c>
      <c r="AW9" s="15" t="str">
        <f t="shared" ref="AW9:AW17" si="35">IFERROR((U9-AI9)/U9,"")</f>
        <v/>
      </c>
      <c r="AX9" s="15" t="str">
        <f t="shared" ref="AX9:AX17" si="36">IFERROR((V9-AJ9)/V9,"")</f>
        <v/>
      </c>
      <c r="AY9" s="15" t="str">
        <f t="shared" ref="AY9:AY17" si="37">IFERROR((W9-AK9)/W9,"")</f>
        <v/>
      </c>
      <c r="AZ9" s="15" t="str">
        <f t="shared" ref="AZ9:AZ17" si="38">IFERROR((X9-AL9)/X9,"")</f>
        <v/>
      </c>
      <c r="BA9" s="15" t="str">
        <f t="shared" ref="BA9:BA17" si="39">IFERROR((Y9-AM9)/Y9,"")</f>
        <v/>
      </c>
      <c r="BB9" s="15" t="str">
        <f t="shared" ref="BB9:BB17" si="40">IFERROR((Z9-AN9)/Z9,"")</f>
        <v/>
      </c>
      <c r="BC9" s="15" t="str">
        <f t="shared" ref="BC9:BC17" si="41">IFERROR((AA9-AO9)/AA9,"")</f>
        <v/>
      </c>
      <c r="BE9" s="14">
        <f t="shared" si="9"/>
        <v>500</v>
      </c>
      <c r="BF9" s="14">
        <f t="shared" si="10"/>
        <v>1000</v>
      </c>
      <c r="BG9" s="14">
        <f t="shared" si="11"/>
        <v>500</v>
      </c>
      <c r="BH9" s="14">
        <f t="shared" si="12"/>
        <v>0</v>
      </c>
      <c r="BI9" s="14">
        <f t="shared" si="13"/>
        <v>100</v>
      </c>
      <c r="BJ9" s="14">
        <f t="shared" si="14"/>
        <v>0</v>
      </c>
      <c r="BK9" s="14">
        <f t="shared" si="15"/>
        <v>0</v>
      </c>
      <c r="BL9" s="14">
        <f t="shared" si="16"/>
        <v>0</v>
      </c>
      <c r="BM9" s="14">
        <f t="shared" si="17"/>
        <v>0</v>
      </c>
      <c r="BN9" s="14">
        <f t="shared" si="18"/>
        <v>0</v>
      </c>
      <c r="BO9" s="14">
        <f t="shared" si="19"/>
        <v>0</v>
      </c>
      <c r="BP9" s="14">
        <f t="shared" si="20"/>
        <v>0</v>
      </c>
      <c r="BQ9" s="37">
        <f t="shared" si="8"/>
        <v>2100</v>
      </c>
    </row>
    <row r="10" spans="1:69" s="16" customFormat="1" ht="18" hidden="1" customHeight="1">
      <c r="A10" s="17"/>
      <c r="B10" s="12">
        <v>33</v>
      </c>
      <c r="C10" s="12"/>
      <c r="D10" s="10" t="s">
        <v>66</v>
      </c>
      <c r="E10" s="10" t="s">
        <v>67</v>
      </c>
      <c r="F10" s="11" t="s">
        <v>68</v>
      </c>
      <c r="G10" s="11" t="s">
        <v>82</v>
      </c>
      <c r="H10" s="11" t="s">
        <v>70</v>
      </c>
      <c r="I10" s="13">
        <v>1</v>
      </c>
      <c r="J10" s="13">
        <v>0.5</v>
      </c>
      <c r="K10" s="12"/>
      <c r="L10" s="12"/>
      <c r="M10" s="12" t="s">
        <v>76</v>
      </c>
      <c r="N10" s="12" t="s">
        <v>83</v>
      </c>
      <c r="O10" s="12"/>
      <c r="P10" s="14">
        <v>0</v>
      </c>
      <c r="Q10" s="14">
        <v>0</v>
      </c>
      <c r="R10" s="14">
        <v>1500</v>
      </c>
      <c r="S10" s="14">
        <v>500</v>
      </c>
      <c r="T10" s="14">
        <v>0</v>
      </c>
      <c r="U10" s="14">
        <v>0</v>
      </c>
      <c r="V10" s="14">
        <v>0</v>
      </c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37">
        <f t="shared" si="3"/>
        <v>2000</v>
      </c>
      <c r="AC10" s="29"/>
      <c r="AD10" s="38">
        <f t="shared" si="21"/>
        <v>0</v>
      </c>
      <c r="AE10" s="38">
        <f t="shared" si="22"/>
        <v>0</v>
      </c>
      <c r="AF10" s="38">
        <f t="shared" si="23"/>
        <v>0</v>
      </c>
      <c r="AG10" s="38">
        <f t="shared" si="23"/>
        <v>0</v>
      </c>
      <c r="AH10" s="38">
        <f t="shared" si="24"/>
        <v>0</v>
      </c>
      <c r="AI10" s="38">
        <f t="shared" si="25"/>
        <v>0</v>
      </c>
      <c r="AJ10" s="38">
        <f t="shared" si="26"/>
        <v>0</v>
      </c>
      <c r="AK10" s="38">
        <f t="shared" si="27"/>
        <v>0</v>
      </c>
      <c r="AL10" s="38">
        <f t="shared" si="28"/>
        <v>0</v>
      </c>
      <c r="AM10" s="38">
        <f t="shared" si="29"/>
        <v>0</v>
      </c>
      <c r="AN10" s="38">
        <f t="shared" si="30"/>
        <v>0</v>
      </c>
      <c r="AO10" s="38">
        <f t="shared" si="31"/>
        <v>0</v>
      </c>
      <c r="AP10" s="39">
        <f t="shared" si="5"/>
        <v>0</v>
      </c>
      <c r="AQ10" s="29"/>
      <c r="AR10" s="15" t="str">
        <f t="shared" si="32"/>
        <v/>
      </c>
      <c r="AS10" s="15" t="str">
        <f t="shared" si="33"/>
        <v/>
      </c>
      <c r="AT10" s="15" t="str">
        <f>IFERROR((#REF!-AF10)/#REF!,"")</f>
        <v/>
      </c>
      <c r="AU10" s="15" t="str">
        <f>IFERROR((#REF!-AG10)/#REF!,"")</f>
        <v/>
      </c>
      <c r="AV10" s="15" t="str">
        <f t="shared" si="34"/>
        <v/>
      </c>
      <c r="AW10" s="15" t="str">
        <f t="shared" si="35"/>
        <v/>
      </c>
      <c r="AX10" s="15" t="str">
        <f t="shared" si="36"/>
        <v/>
      </c>
      <c r="AY10" s="15" t="str">
        <f t="shared" si="37"/>
        <v/>
      </c>
      <c r="AZ10" s="15" t="str">
        <f t="shared" si="38"/>
        <v/>
      </c>
      <c r="BA10" s="15" t="str">
        <f t="shared" si="39"/>
        <v/>
      </c>
      <c r="BB10" s="15" t="str">
        <f t="shared" si="40"/>
        <v/>
      </c>
      <c r="BC10" s="15" t="str">
        <f t="shared" si="41"/>
        <v/>
      </c>
      <c r="BE10" s="14">
        <f t="shared" si="9"/>
        <v>0</v>
      </c>
      <c r="BF10" s="14">
        <f t="shared" si="10"/>
        <v>0</v>
      </c>
      <c r="BG10" s="14">
        <f t="shared" si="11"/>
        <v>1500</v>
      </c>
      <c r="BH10" s="14">
        <f t="shared" si="12"/>
        <v>500</v>
      </c>
      <c r="BI10" s="14">
        <f t="shared" si="13"/>
        <v>0</v>
      </c>
      <c r="BJ10" s="14">
        <f t="shared" si="14"/>
        <v>0</v>
      </c>
      <c r="BK10" s="14">
        <f t="shared" si="15"/>
        <v>0</v>
      </c>
      <c r="BL10" s="14">
        <f t="shared" si="16"/>
        <v>0</v>
      </c>
      <c r="BM10" s="14">
        <f t="shared" si="17"/>
        <v>0</v>
      </c>
      <c r="BN10" s="14">
        <f t="shared" si="18"/>
        <v>0</v>
      </c>
      <c r="BO10" s="14">
        <f t="shared" si="19"/>
        <v>0</v>
      </c>
      <c r="BP10" s="14">
        <f t="shared" si="20"/>
        <v>0</v>
      </c>
      <c r="BQ10" s="37">
        <f t="shared" si="8"/>
        <v>2000</v>
      </c>
    </row>
    <row r="11" spans="1:69" s="16" customFormat="1" ht="18" customHeight="1">
      <c r="A11" s="17"/>
      <c r="B11" s="12">
        <v>34</v>
      </c>
      <c r="C11" s="12"/>
      <c r="D11" s="10" t="s">
        <v>66</v>
      </c>
      <c r="E11" s="10" t="s">
        <v>67</v>
      </c>
      <c r="F11" s="11" t="s">
        <v>68</v>
      </c>
      <c r="G11" s="11" t="s">
        <v>84</v>
      </c>
      <c r="H11" s="11" t="s">
        <v>75</v>
      </c>
      <c r="I11" s="13">
        <v>1</v>
      </c>
      <c r="J11" s="13">
        <v>0.5</v>
      </c>
      <c r="K11" s="12"/>
      <c r="L11" s="12"/>
      <c r="M11" s="12" t="s">
        <v>72</v>
      </c>
      <c r="N11" s="12" t="s">
        <v>81</v>
      </c>
      <c r="O11" s="12"/>
      <c r="P11" s="14"/>
      <c r="Q11" s="14"/>
      <c r="R11" s="14"/>
      <c r="S11" s="14"/>
      <c r="T11" s="14">
        <f>80+200+280+20</f>
        <v>580</v>
      </c>
      <c r="U11" s="14"/>
      <c r="V11" s="14"/>
      <c r="W11" s="14"/>
      <c r="X11" s="14"/>
      <c r="Y11" s="14"/>
      <c r="Z11" s="14"/>
      <c r="AA11" s="14"/>
      <c r="AB11" s="37">
        <f t="shared" si="3"/>
        <v>580</v>
      </c>
      <c r="AC11" s="29"/>
      <c r="AD11" s="38">
        <f t="shared" si="21"/>
        <v>0</v>
      </c>
      <c r="AE11" s="38">
        <f t="shared" si="22"/>
        <v>0</v>
      </c>
      <c r="AF11" s="38">
        <f t="shared" si="23"/>
        <v>100</v>
      </c>
      <c r="AG11" s="38">
        <f t="shared" si="23"/>
        <v>100</v>
      </c>
      <c r="AH11" s="38">
        <f>T11*$J11</f>
        <v>290</v>
      </c>
      <c r="AI11" s="38">
        <f t="shared" si="25"/>
        <v>0</v>
      </c>
      <c r="AJ11" s="38">
        <f t="shared" si="26"/>
        <v>0</v>
      </c>
      <c r="AK11" s="38">
        <f t="shared" si="27"/>
        <v>0</v>
      </c>
      <c r="AL11" s="38">
        <f t="shared" si="28"/>
        <v>0</v>
      </c>
      <c r="AM11" s="38">
        <f t="shared" si="29"/>
        <v>0</v>
      </c>
      <c r="AN11" s="38">
        <f t="shared" si="30"/>
        <v>0</v>
      </c>
      <c r="AO11" s="38">
        <f t="shared" si="31"/>
        <v>0</v>
      </c>
      <c r="AP11" s="39">
        <f t="shared" si="5"/>
        <v>490</v>
      </c>
      <c r="AQ11" s="29"/>
      <c r="AR11" s="15" t="str">
        <f t="shared" si="32"/>
        <v/>
      </c>
      <c r="AS11" s="15" t="str">
        <f t="shared" si="33"/>
        <v/>
      </c>
      <c r="AT11" s="15" t="str">
        <f t="shared" ref="AT11:AU17" si="42">IFERROR((R11-AF11)/R11,"")</f>
        <v/>
      </c>
      <c r="AU11" s="15" t="str">
        <f t="shared" si="42"/>
        <v/>
      </c>
      <c r="AV11" s="15">
        <f t="shared" si="34"/>
        <v>0.5</v>
      </c>
      <c r="AW11" s="15" t="str">
        <f t="shared" si="35"/>
        <v/>
      </c>
      <c r="AX11" s="15" t="str">
        <f t="shared" si="36"/>
        <v/>
      </c>
      <c r="AY11" s="15" t="str">
        <f t="shared" si="37"/>
        <v/>
      </c>
      <c r="AZ11" s="15" t="str">
        <f t="shared" si="38"/>
        <v/>
      </c>
      <c r="BA11" s="15" t="str">
        <f t="shared" si="39"/>
        <v/>
      </c>
      <c r="BB11" s="15" t="str">
        <f t="shared" si="40"/>
        <v/>
      </c>
      <c r="BC11" s="15" t="str">
        <f t="shared" si="41"/>
        <v/>
      </c>
      <c r="BE11" s="14">
        <f t="shared" si="9"/>
        <v>0</v>
      </c>
      <c r="BF11" s="14">
        <f t="shared" si="10"/>
        <v>0</v>
      </c>
      <c r="BG11" s="14">
        <f t="shared" si="11"/>
        <v>0</v>
      </c>
      <c r="BH11" s="14">
        <f t="shared" si="12"/>
        <v>0</v>
      </c>
      <c r="BI11" s="14">
        <f t="shared" si="13"/>
        <v>580</v>
      </c>
      <c r="BJ11" s="14">
        <f t="shared" si="14"/>
        <v>0</v>
      </c>
      <c r="BK11" s="14">
        <f t="shared" si="15"/>
        <v>0</v>
      </c>
      <c r="BL11" s="14">
        <f t="shared" si="16"/>
        <v>0</v>
      </c>
      <c r="BM11" s="14">
        <f t="shared" si="17"/>
        <v>0</v>
      </c>
      <c r="BN11" s="14">
        <f t="shared" si="18"/>
        <v>0</v>
      </c>
      <c r="BO11" s="14">
        <f t="shared" si="19"/>
        <v>0</v>
      </c>
      <c r="BP11" s="14">
        <f t="shared" si="20"/>
        <v>0</v>
      </c>
      <c r="BQ11" s="37">
        <f t="shared" si="8"/>
        <v>580</v>
      </c>
    </row>
    <row r="12" spans="1:69" s="16" customFormat="1" ht="18" hidden="1" customHeight="1">
      <c r="A12" s="17"/>
      <c r="B12" s="12">
        <v>39</v>
      </c>
      <c r="C12" s="12"/>
      <c r="D12" s="10" t="s">
        <v>66</v>
      </c>
      <c r="E12" s="10" t="s">
        <v>67</v>
      </c>
      <c r="F12" s="11" t="s">
        <v>68</v>
      </c>
      <c r="G12" s="11" t="s">
        <v>85</v>
      </c>
      <c r="H12" s="11" t="s">
        <v>70</v>
      </c>
      <c r="I12" s="13">
        <v>1</v>
      </c>
      <c r="J12" s="13">
        <v>0.5</v>
      </c>
      <c r="K12" s="12"/>
      <c r="L12" s="12"/>
      <c r="M12" s="12" t="s">
        <v>72</v>
      </c>
      <c r="N12" s="12" t="s">
        <v>86</v>
      </c>
      <c r="O12" s="12"/>
      <c r="P12" s="14">
        <v>200</v>
      </c>
      <c r="Q12" s="14">
        <v>200</v>
      </c>
      <c r="R12" s="14">
        <v>200</v>
      </c>
      <c r="S12" s="14">
        <v>200</v>
      </c>
      <c r="T12" s="14">
        <v>200</v>
      </c>
      <c r="U12" s="14">
        <v>200</v>
      </c>
      <c r="V12" s="14">
        <v>200</v>
      </c>
      <c r="W12" s="14">
        <v>200</v>
      </c>
      <c r="X12" s="14">
        <v>200</v>
      </c>
      <c r="Y12" s="14">
        <v>200</v>
      </c>
      <c r="Z12" s="14">
        <v>200</v>
      </c>
      <c r="AA12" s="14">
        <v>200</v>
      </c>
      <c r="AB12" s="37">
        <f t="shared" si="3"/>
        <v>2400</v>
      </c>
      <c r="AC12" s="29"/>
      <c r="AD12" s="38">
        <f t="shared" si="21"/>
        <v>100</v>
      </c>
      <c r="AE12" s="38">
        <f t="shared" si="22"/>
        <v>100</v>
      </c>
      <c r="AF12" s="38">
        <f t="shared" si="23"/>
        <v>368.5</v>
      </c>
      <c r="AG12" s="38">
        <f t="shared" si="23"/>
        <v>0</v>
      </c>
      <c r="AH12" s="38">
        <f t="shared" si="24"/>
        <v>100</v>
      </c>
      <c r="AI12" s="38">
        <f t="shared" si="25"/>
        <v>100</v>
      </c>
      <c r="AJ12" s="38">
        <f t="shared" si="26"/>
        <v>100</v>
      </c>
      <c r="AK12" s="38">
        <f t="shared" si="27"/>
        <v>100</v>
      </c>
      <c r="AL12" s="38">
        <f t="shared" si="28"/>
        <v>100</v>
      </c>
      <c r="AM12" s="38">
        <f t="shared" si="29"/>
        <v>100</v>
      </c>
      <c r="AN12" s="38">
        <f t="shared" si="30"/>
        <v>100</v>
      </c>
      <c r="AO12" s="38">
        <f t="shared" si="31"/>
        <v>100</v>
      </c>
      <c r="AP12" s="39">
        <f t="shared" si="5"/>
        <v>1368.5</v>
      </c>
      <c r="AQ12" s="29"/>
      <c r="AR12" s="15">
        <f t="shared" si="32"/>
        <v>0.5</v>
      </c>
      <c r="AS12" s="15">
        <f t="shared" si="33"/>
        <v>0.5</v>
      </c>
      <c r="AT12" s="15">
        <f t="shared" si="42"/>
        <v>-0.84250000000000003</v>
      </c>
      <c r="AU12" s="15">
        <f t="shared" si="42"/>
        <v>1</v>
      </c>
      <c r="AV12" s="15">
        <f t="shared" si="34"/>
        <v>0.5</v>
      </c>
      <c r="AW12" s="15">
        <f t="shared" si="35"/>
        <v>0.5</v>
      </c>
      <c r="AX12" s="15">
        <f t="shared" si="36"/>
        <v>0.5</v>
      </c>
      <c r="AY12" s="15">
        <f t="shared" si="37"/>
        <v>0.5</v>
      </c>
      <c r="AZ12" s="15">
        <f t="shared" si="38"/>
        <v>0.5</v>
      </c>
      <c r="BA12" s="15">
        <f t="shared" si="39"/>
        <v>0.5</v>
      </c>
      <c r="BB12" s="15">
        <f t="shared" si="40"/>
        <v>0.5</v>
      </c>
      <c r="BC12" s="15">
        <f t="shared" si="41"/>
        <v>0.5</v>
      </c>
      <c r="BE12" s="14">
        <f t="shared" si="9"/>
        <v>200</v>
      </c>
      <c r="BF12" s="14">
        <f t="shared" si="10"/>
        <v>200</v>
      </c>
      <c r="BG12" s="14">
        <f t="shared" si="11"/>
        <v>200</v>
      </c>
      <c r="BH12" s="14">
        <f t="shared" si="12"/>
        <v>200</v>
      </c>
      <c r="BI12" s="14">
        <f t="shared" si="13"/>
        <v>200</v>
      </c>
      <c r="BJ12" s="14">
        <f t="shared" si="14"/>
        <v>200</v>
      </c>
      <c r="BK12" s="14">
        <f t="shared" si="15"/>
        <v>200</v>
      </c>
      <c r="BL12" s="14">
        <f t="shared" si="16"/>
        <v>200</v>
      </c>
      <c r="BM12" s="14">
        <f t="shared" si="17"/>
        <v>200</v>
      </c>
      <c r="BN12" s="14">
        <f t="shared" si="18"/>
        <v>200</v>
      </c>
      <c r="BO12" s="14">
        <f t="shared" si="19"/>
        <v>200</v>
      </c>
      <c r="BP12" s="14">
        <f t="shared" si="20"/>
        <v>200</v>
      </c>
      <c r="BQ12" s="37">
        <f t="shared" si="8"/>
        <v>2400</v>
      </c>
    </row>
    <row r="13" spans="1:69" s="16" customFormat="1" ht="18" hidden="1" customHeight="1">
      <c r="A13" s="17"/>
      <c r="B13" s="12">
        <v>40</v>
      </c>
      <c r="C13" s="12"/>
      <c r="D13" s="10" t="s">
        <v>66</v>
      </c>
      <c r="E13" s="10" t="s">
        <v>67</v>
      </c>
      <c r="F13" s="11" t="s">
        <v>87</v>
      </c>
      <c r="G13" s="11" t="s">
        <v>88</v>
      </c>
      <c r="H13" s="11" t="s">
        <v>70</v>
      </c>
      <c r="I13" s="13">
        <v>1</v>
      </c>
      <c r="J13" s="25">
        <v>0.2</v>
      </c>
      <c r="K13" s="12"/>
      <c r="L13" s="12"/>
      <c r="M13" s="12" t="s">
        <v>76</v>
      </c>
      <c r="N13" s="12" t="s">
        <v>78</v>
      </c>
      <c r="O13" s="12"/>
      <c r="P13" s="14">
        <v>737</v>
      </c>
      <c r="Q13" s="14">
        <v>737</v>
      </c>
      <c r="R13" s="14">
        <v>737</v>
      </c>
      <c r="S13" s="14"/>
      <c r="T13" s="14">
        <v>550</v>
      </c>
      <c r="U13" s="52">
        <v>1944</v>
      </c>
      <c r="V13" s="14"/>
      <c r="W13" s="14"/>
      <c r="X13" s="14"/>
      <c r="Y13" s="14"/>
      <c r="Z13" s="14"/>
      <c r="AA13" s="14"/>
      <c r="AB13" s="37">
        <f t="shared" si="3"/>
        <v>4705</v>
      </c>
      <c r="AC13" s="29"/>
      <c r="AD13" s="38">
        <f t="shared" ref="AD13" si="43">P13*$J13</f>
        <v>147.4</v>
      </c>
      <c r="AE13" s="38">
        <f t="shared" ref="AE13" si="44">Q13*$J13</f>
        <v>147.4</v>
      </c>
      <c r="AF13" s="38">
        <f>R14*$J13</f>
        <v>0</v>
      </c>
      <c r="AG13" s="38">
        <f>S14*$J13</f>
        <v>0</v>
      </c>
      <c r="AH13" s="38">
        <f t="shared" ref="AH13" si="45">T13*$J13</f>
        <v>110</v>
      </c>
      <c r="AI13" s="38">
        <f t="shared" ref="AI13" si="46">U13*$J13</f>
        <v>388.8</v>
      </c>
      <c r="AJ13" s="38">
        <f t="shared" ref="AJ13" si="47">V13*$J13</f>
        <v>0</v>
      </c>
      <c r="AK13" s="38">
        <f t="shared" ref="AK13" si="48">W13*$J13</f>
        <v>0</v>
      </c>
      <c r="AL13" s="38">
        <f t="shared" ref="AL13" si="49">X13*$J13</f>
        <v>0</v>
      </c>
      <c r="AM13" s="38">
        <f t="shared" ref="AM13" si="50">Y13*$J13</f>
        <v>0</v>
      </c>
      <c r="AN13" s="38">
        <f t="shared" ref="AN13" si="51">Z13*$J13</f>
        <v>0</v>
      </c>
      <c r="AO13" s="38">
        <f t="shared" ref="AO13" si="52">AA13*$J13</f>
        <v>0</v>
      </c>
      <c r="AP13" s="39">
        <f t="shared" si="5"/>
        <v>793.6</v>
      </c>
      <c r="AQ13" s="29"/>
      <c r="AR13" s="15">
        <f t="shared" si="32"/>
        <v>0.8</v>
      </c>
      <c r="AS13" s="15">
        <f t="shared" si="33"/>
        <v>0.8</v>
      </c>
      <c r="AT13" s="15">
        <f t="shared" si="42"/>
        <v>1</v>
      </c>
      <c r="AU13" s="15" t="str">
        <f t="shared" si="42"/>
        <v/>
      </c>
      <c r="AV13" s="15">
        <f t="shared" si="34"/>
        <v>0.8</v>
      </c>
      <c r="AW13" s="15">
        <f t="shared" si="35"/>
        <v>0.8</v>
      </c>
      <c r="AX13" s="15" t="str">
        <f t="shared" si="36"/>
        <v/>
      </c>
      <c r="AY13" s="15" t="str">
        <f t="shared" si="37"/>
        <v/>
      </c>
      <c r="AZ13" s="15" t="str">
        <f t="shared" si="38"/>
        <v/>
      </c>
      <c r="BA13" s="15" t="str">
        <f t="shared" si="39"/>
        <v/>
      </c>
      <c r="BB13" s="15" t="str">
        <f t="shared" si="40"/>
        <v/>
      </c>
      <c r="BC13" s="15" t="str">
        <f t="shared" si="41"/>
        <v/>
      </c>
      <c r="BE13" s="14">
        <f t="shared" si="9"/>
        <v>737</v>
      </c>
      <c r="BF13" s="14">
        <f t="shared" si="10"/>
        <v>737</v>
      </c>
      <c r="BG13" s="14">
        <f t="shared" si="11"/>
        <v>737</v>
      </c>
      <c r="BH13" s="14">
        <f t="shared" si="12"/>
        <v>0</v>
      </c>
      <c r="BI13" s="14">
        <f t="shared" si="13"/>
        <v>550</v>
      </c>
      <c r="BJ13" s="14">
        <f t="shared" si="14"/>
        <v>1944</v>
      </c>
      <c r="BK13" s="14">
        <f t="shared" si="15"/>
        <v>0</v>
      </c>
      <c r="BL13" s="14">
        <f t="shared" si="16"/>
        <v>0</v>
      </c>
      <c r="BM13" s="14">
        <f t="shared" si="17"/>
        <v>0</v>
      </c>
      <c r="BN13" s="14">
        <f t="shared" si="18"/>
        <v>0</v>
      </c>
      <c r="BO13" s="14">
        <f t="shared" si="19"/>
        <v>0</v>
      </c>
      <c r="BP13" s="14">
        <f t="shared" si="20"/>
        <v>0</v>
      </c>
      <c r="BQ13" s="37">
        <f t="shared" si="8"/>
        <v>4705</v>
      </c>
    </row>
    <row r="14" spans="1:69" s="16" customFormat="1" ht="18" hidden="1" customHeight="1">
      <c r="A14" s="17"/>
      <c r="B14" s="12">
        <v>7</v>
      </c>
      <c r="C14" s="12"/>
      <c r="D14" s="10" t="s">
        <v>66</v>
      </c>
      <c r="E14" s="10" t="s">
        <v>67</v>
      </c>
      <c r="F14" s="11" t="s">
        <v>89</v>
      </c>
      <c r="G14" s="11" t="s">
        <v>90</v>
      </c>
      <c r="H14" s="11" t="s">
        <v>70</v>
      </c>
      <c r="I14" s="13">
        <v>1</v>
      </c>
      <c r="J14" s="13">
        <v>0.5</v>
      </c>
      <c r="K14" s="12"/>
      <c r="L14" s="12"/>
      <c r="M14" s="12" t="s">
        <v>76</v>
      </c>
      <c r="N14" s="12" t="s">
        <v>9</v>
      </c>
      <c r="O14" s="12"/>
      <c r="P14" s="14"/>
      <c r="Q14" s="14"/>
      <c r="R14" s="14"/>
      <c r="S14" s="14"/>
      <c r="T14" s="14">
        <v>400</v>
      </c>
      <c r="U14" s="14">
        <v>400</v>
      </c>
      <c r="V14" s="14">
        <v>400</v>
      </c>
      <c r="W14" s="14">
        <v>400</v>
      </c>
      <c r="X14" s="14">
        <v>400</v>
      </c>
      <c r="Y14" s="46">
        <v>0</v>
      </c>
      <c r="Z14" s="46">
        <v>0</v>
      </c>
      <c r="AA14" s="46">
        <v>0</v>
      </c>
      <c r="AB14" s="37">
        <f t="shared" si="3"/>
        <v>2000</v>
      </c>
      <c r="AC14" s="29"/>
      <c r="AD14" s="38">
        <f t="shared" si="21"/>
        <v>0</v>
      </c>
      <c r="AE14" s="38">
        <f t="shared" si="22"/>
        <v>0</v>
      </c>
      <c r="AF14" s="38">
        <f t="shared" ref="AF14:AG19" si="53">R14*$J14</f>
        <v>0</v>
      </c>
      <c r="AG14" s="38">
        <f t="shared" si="53"/>
        <v>0</v>
      </c>
      <c r="AH14" s="38">
        <f t="shared" si="24"/>
        <v>200</v>
      </c>
      <c r="AI14" s="38">
        <f t="shared" si="25"/>
        <v>200</v>
      </c>
      <c r="AJ14" s="38">
        <f t="shared" si="26"/>
        <v>200</v>
      </c>
      <c r="AK14" s="38">
        <f t="shared" si="27"/>
        <v>200</v>
      </c>
      <c r="AL14" s="38">
        <f t="shared" si="28"/>
        <v>200</v>
      </c>
      <c r="AM14" s="38">
        <f t="shared" si="29"/>
        <v>0</v>
      </c>
      <c r="AN14" s="38">
        <f t="shared" si="30"/>
        <v>0</v>
      </c>
      <c r="AO14" s="38">
        <f t="shared" si="31"/>
        <v>0</v>
      </c>
      <c r="AP14" s="39">
        <f t="shared" si="5"/>
        <v>1000</v>
      </c>
      <c r="AQ14" s="29"/>
      <c r="AR14" s="15" t="str">
        <f t="shared" si="32"/>
        <v/>
      </c>
      <c r="AS14" s="15" t="str">
        <f t="shared" si="33"/>
        <v/>
      </c>
      <c r="AT14" s="15" t="str">
        <f t="shared" si="42"/>
        <v/>
      </c>
      <c r="AU14" s="15" t="str">
        <f t="shared" si="42"/>
        <v/>
      </c>
      <c r="AV14" s="15">
        <f t="shared" si="34"/>
        <v>0.5</v>
      </c>
      <c r="AW14" s="15">
        <f t="shared" si="35"/>
        <v>0.5</v>
      </c>
      <c r="AX14" s="15">
        <f t="shared" si="36"/>
        <v>0.5</v>
      </c>
      <c r="AY14" s="15">
        <f t="shared" si="37"/>
        <v>0.5</v>
      </c>
      <c r="AZ14" s="15">
        <f t="shared" si="38"/>
        <v>0.5</v>
      </c>
      <c r="BA14" s="15" t="str">
        <f t="shared" si="39"/>
        <v/>
      </c>
      <c r="BB14" s="15" t="str">
        <f t="shared" si="40"/>
        <v/>
      </c>
      <c r="BC14" s="15" t="str">
        <f t="shared" si="41"/>
        <v/>
      </c>
      <c r="BE14" s="14">
        <f t="shared" si="9"/>
        <v>0</v>
      </c>
      <c r="BF14" s="14">
        <f t="shared" si="10"/>
        <v>0</v>
      </c>
      <c r="BG14" s="14">
        <f t="shared" si="11"/>
        <v>0</v>
      </c>
      <c r="BH14" s="14">
        <f t="shared" si="12"/>
        <v>0</v>
      </c>
      <c r="BI14" s="14">
        <f t="shared" si="13"/>
        <v>400</v>
      </c>
      <c r="BJ14" s="14">
        <f t="shared" si="14"/>
        <v>400</v>
      </c>
      <c r="BK14" s="14">
        <f t="shared" si="15"/>
        <v>400</v>
      </c>
      <c r="BL14" s="14">
        <f t="shared" si="16"/>
        <v>400</v>
      </c>
      <c r="BM14" s="14">
        <f t="shared" si="17"/>
        <v>400</v>
      </c>
      <c r="BN14" s="14">
        <f t="shared" si="18"/>
        <v>0</v>
      </c>
      <c r="BO14" s="14">
        <f t="shared" si="19"/>
        <v>0</v>
      </c>
      <c r="BP14" s="14">
        <f t="shared" si="20"/>
        <v>0</v>
      </c>
      <c r="BQ14" s="37">
        <f t="shared" si="8"/>
        <v>2000</v>
      </c>
    </row>
    <row r="15" spans="1:69" s="16" customFormat="1" ht="18" hidden="1" customHeight="1">
      <c r="A15" s="17"/>
      <c r="B15" s="12">
        <v>41</v>
      </c>
      <c r="C15" s="12"/>
      <c r="D15" s="10" t="s">
        <v>66</v>
      </c>
      <c r="E15" s="10" t="s">
        <v>67</v>
      </c>
      <c r="F15" s="11" t="s">
        <v>89</v>
      </c>
      <c r="G15" s="11" t="s">
        <v>91</v>
      </c>
      <c r="H15" s="11" t="s">
        <v>70</v>
      </c>
      <c r="I15" s="13">
        <v>1</v>
      </c>
      <c r="J15" s="47">
        <v>0.1</v>
      </c>
      <c r="K15" s="12"/>
      <c r="L15" s="12"/>
      <c r="M15" s="12" t="s">
        <v>76</v>
      </c>
      <c r="N15" s="12" t="s">
        <v>78</v>
      </c>
      <c r="O15" s="12"/>
      <c r="P15" s="14"/>
      <c r="Q15" s="14"/>
      <c r="R15" s="14"/>
      <c r="S15" s="14"/>
      <c r="T15" s="14"/>
      <c r="U15" s="14">
        <v>1500</v>
      </c>
      <c r="V15" s="14">
        <v>1500</v>
      </c>
      <c r="W15" s="14">
        <v>1500</v>
      </c>
      <c r="X15" s="14">
        <v>1500</v>
      </c>
      <c r="Y15" s="14"/>
      <c r="Z15" s="14"/>
      <c r="AA15" s="14"/>
      <c r="AB15" s="37">
        <f t="shared" si="3"/>
        <v>6000</v>
      </c>
      <c r="AC15" s="29"/>
      <c r="AD15" s="38">
        <f t="shared" si="21"/>
        <v>0</v>
      </c>
      <c r="AE15" s="38">
        <f t="shared" si="22"/>
        <v>0</v>
      </c>
      <c r="AF15" s="38">
        <f t="shared" si="53"/>
        <v>0</v>
      </c>
      <c r="AG15" s="38">
        <f t="shared" si="53"/>
        <v>0</v>
      </c>
      <c r="AH15" s="38">
        <f t="shared" si="24"/>
        <v>0</v>
      </c>
      <c r="AI15" s="38">
        <f t="shared" si="25"/>
        <v>150</v>
      </c>
      <c r="AJ15" s="38">
        <f t="shared" si="26"/>
        <v>150</v>
      </c>
      <c r="AK15" s="38">
        <f t="shared" si="27"/>
        <v>150</v>
      </c>
      <c r="AL15" s="38">
        <f t="shared" si="28"/>
        <v>150</v>
      </c>
      <c r="AM15" s="38">
        <f t="shared" si="29"/>
        <v>0</v>
      </c>
      <c r="AN15" s="38">
        <f t="shared" si="30"/>
        <v>0</v>
      </c>
      <c r="AO15" s="38">
        <f t="shared" si="31"/>
        <v>0</v>
      </c>
      <c r="AP15" s="39">
        <f t="shared" si="5"/>
        <v>600</v>
      </c>
      <c r="AQ15" s="29"/>
      <c r="AR15" s="15" t="str">
        <f t="shared" si="32"/>
        <v/>
      </c>
      <c r="AS15" s="15" t="str">
        <f t="shared" si="33"/>
        <v/>
      </c>
      <c r="AT15" s="15" t="str">
        <f t="shared" si="42"/>
        <v/>
      </c>
      <c r="AU15" s="15" t="str">
        <f t="shared" si="42"/>
        <v/>
      </c>
      <c r="AV15" s="15" t="str">
        <f t="shared" si="34"/>
        <v/>
      </c>
      <c r="AW15" s="15">
        <f t="shared" si="35"/>
        <v>0.9</v>
      </c>
      <c r="AX15" s="15">
        <f t="shared" si="36"/>
        <v>0.9</v>
      </c>
      <c r="AY15" s="15">
        <f t="shared" si="37"/>
        <v>0.9</v>
      </c>
      <c r="AZ15" s="15">
        <f t="shared" si="38"/>
        <v>0.9</v>
      </c>
      <c r="BA15" s="15" t="str">
        <f t="shared" si="39"/>
        <v/>
      </c>
      <c r="BB15" s="15" t="str">
        <f t="shared" si="40"/>
        <v/>
      </c>
      <c r="BC15" s="15" t="str">
        <f t="shared" si="41"/>
        <v/>
      </c>
      <c r="BE15" s="14">
        <f t="shared" si="9"/>
        <v>0</v>
      </c>
      <c r="BF15" s="14">
        <f t="shared" si="10"/>
        <v>0</v>
      </c>
      <c r="BG15" s="14">
        <f t="shared" si="11"/>
        <v>0</v>
      </c>
      <c r="BH15" s="14">
        <f t="shared" si="12"/>
        <v>0</v>
      </c>
      <c r="BI15" s="14">
        <f t="shared" si="13"/>
        <v>0</v>
      </c>
      <c r="BJ15" s="14">
        <f t="shared" si="14"/>
        <v>1500</v>
      </c>
      <c r="BK15" s="14">
        <f t="shared" si="15"/>
        <v>1500</v>
      </c>
      <c r="BL15" s="14">
        <f t="shared" si="16"/>
        <v>1500</v>
      </c>
      <c r="BM15" s="14">
        <f t="shared" si="17"/>
        <v>1500</v>
      </c>
      <c r="BN15" s="14">
        <f t="shared" si="18"/>
        <v>0</v>
      </c>
      <c r="BO15" s="14">
        <f t="shared" si="19"/>
        <v>0</v>
      </c>
      <c r="BP15" s="14">
        <f t="shared" si="20"/>
        <v>0</v>
      </c>
      <c r="BQ15" s="37">
        <f t="shared" si="8"/>
        <v>6000</v>
      </c>
    </row>
    <row r="16" spans="1:69" s="16" customFormat="1" ht="18" hidden="1" customHeight="1">
      <c r="A16" s="17"/>
      <c r="B16" s="12">
        <v>22</v>
      </c>
      <c r="C16" s="12"/>
      <c r="D16" s="10" t="s">
        <v>66</v>
      </c>
      <c r="E16" s="10" t="s">
        <v>67</v>
      </c>
      <c r="F16" s="11" t="s">
        <v>92</v>
      </c>
      <c r="G16" s="11" t="s">
        <v>91</v>
      </c>
      <c r="H16" s="11" t="s">
        <v>70</v>
      </c>
      <c r="I16" s="25">
        <v>1</v>
      </c>
      <c r="J16" s="47">
        <v>0.1</v>
      </c>
      <c r="K16" s="12"/>
      <c r="L16" s="12"/>
      <c r="M16" s="12" t="s">
        <v>76</v>
      </c>
      <c r="N16" s="12" t="s">
        <v>78</v>
      </c>
      <c r="O16" s="12"/>
      <c r="P16" s="14">
        <v>300</v>
      </c>
      <c r="Q16" s="14">
        <v>300</v>
      </c>
      <c r="R16" s="14">
        <v>300</v>
      </c>
      <c r="S16" s="14">
        <v>300</v>
      </c>
      <c r="T16" s="14">
        <v>300</v>
      </c>
      <c r="U16" s="14">
        <v>300</v>
      </c>
      <c r="V16" s="46">
        <v>0</v>
      </c>
      <c r="W16" s="46">
        <v>0</v>
      </c>
      <c r="X16" s="46">
        <v>0</v>
      </c>
      <c r="Y16" s="26">
        <v>0</v>
      </c>
      <c r="Z16" s="26">
        <v>0</v>
      </c>
      <c r="AA16" s="26">
        <v>0</v>
      </c>
      <c r="AB16" s="37">
        <f t="shared" si="3"/>
        <v>1800</v>
      </c>
      <c r="AC16" s="29"/>
      <c r="AD16" s="38">
        <f t="shared" si="21"/>
        <v>30</v>
      </c>
      <c r="AE16" s="38">
        <f t="shared" si="22"/>
        <v>30</v>
      </c>
      <c r="AF16" s="38">
        <f t="shared" si="53"/>
        <v>30</v>
      </c>
      <c r="AG16" s="38">
        <f t="shared" si="53"/>
        <v>30</v>
      </c>
      <c r="AH16" s="38">
        <f t="shared" si="24"/>
        <v>30</v>
      </c>
      <c r="AI16" s="38">
        <f t="shared" si="25"/>
        <v>30</v>
      </c>
      <c r="AJ16" s="38">
        <f t="shared" si="26"/>
        <v>0</v>
      </c>
      <c r="AK16" s="38">
        <f t="shared" si="27"/>
        <v>0</v>
      </c>
      <c r="AL16" s="38">
        <f t="shared" si="28"/>
        <v>0</v>
      </c>
      <c r="AM16" s="38">
        <f t="shared" si="29"/>
        <v>0</v>
      </c>
      <c r="AN16" s="38">
        <f t="shared" si="30"/>
        <v>0</v>
      </c>
      <c r="AO16" s="38">
        <f t="shared" si="31"/>
        <v>0</v>
      </c>
      <c r="AP16" s="39">
        <f t="shared" si="5"/>
        <v>180</v>
      </c>
      <c r="AQ16" s="29"/>
      <c r="AR16" s="15">
        <f t="shared" si="32"/>
        <v>0.9</v>
      </c>
      <c r="AS16" s="15">
        <f t="shared" si="33"/>
        <v>0.9</v>
      </c>
      <c r="AT16" s="15">
        <f t="shared" si="42"/>
        <v>0.9</v>
      </c>
      <c r="AU16" s="15">
        <f t="shared" si="42"/>
        <v>0.9</v>
      </c>
      <c r="AV16" s="15">
        <f t="shared" si="34"/>
        <v>0.9</v>
      </c>
      <c r="AW16" s="15">
        <f t="shared" si="35"/>
        <v>0.9</v>
      </c>
      <c r="AX16" s="15" t="str">
        <f t="shared" si="36"/>
        <v/>
      </c>
      <c r="AY16" s="15" t="str">
        <f t="shared" si="37"/>
        <v/>
      </c>
      <c r="AZ16" s="15" t="str">
        <f t="shared" si="38"/>
        <v/>
      </c>
      <c r="BA16" s="15" t="str">
        <f t="shared" si="39"/>
        <v/>
      </c>
      <c r="BB16" s="15" t="str">
        <f t="shared" si="40"/>
        <v/>
      </c>
      <c r="BC16" s="15" t="str">
        <f t="shared" si="41"/>
        <v/>
      </c>
      <c r="BE16" s="14">
        <f t="shared" si="9"/>
        <v>300</v>
      </c>
      <c r="BF16" s="14">
        <f t="shared" si="10"/>
        <v>300</v>
      </c>
      <c r="BG16" s="14">
        <f t="shared" si="11"/>
        <v>300</v>
      </c>
      <c r="BH16" s="14">
        <f t="shared" si="12"/>
        <v>300</v>
      </c>
      <c r="BI16" s="14">
        <f t="shared" si="13"/>
        <v>300</v>
      </c>
      <c r="BJ16" s="14">
        <f t="shared" si="14"/>
        <v>300</v>
      </c>
      <c r="BK16" s="14">
        <f t="shared" si="15"/>
        <v>0</v>
      </c>
      <c r="BL16" s="14">
        <f t="shared" si="16"/>
        <v>0</v>
      </c>
      <c r="BM16" s="14">
        <f t="shared" si="17"/>
        <v>0</v>
      </c>
      <c r="BN16" s="14">
        <f t="shared" si="18"/>
        <v>0</v>
      </c>
      <c r="BO16" s="14">
        <f t="shared" si="19"/>
        <v>0</v>
      </c>
      <c r="BP16" s="14">
        <f t="shared" si="20"/>
        <v>0</v>
      </c>
      <c r="BQ16" s="37">
        <f t="shared" si="8"/>
        <v>1800</v>
      </c>
    </row>
    <row r="17" spans="1:69" s="16" customFormat="1" ht="18" hidden="1" customHeight="1">
      <c r="A17" s="17"/>
      <c r="B17" s="12">
        <v>19</v>
      </c>
      <c r="C17" s="12"/>
      <c r="D17" s="10" t="s">
        <v>66</v>
      </c>
      <c r="E17" s="10" t="s">
        <v>67</v>
      </c>
      <c r="F17" s="11" t="s">
        <v>93</v>
      </c>
      <c r="G17" s="11" t="s">
        <v>94</v>
      </c>
      <c r="H17" s="11" t="s">
        <v>70</v>
      </c>
      <c r="I17" s="25">
        <v>1</v>
      </c>
      <c r="J17" s="13">
        <v>0.5</v>
      </c>
      <c r="K17" s="12"/>
      <c r="L17" s="12"/>
      <c r="M17" s="12" t="s">
        <v>76</v>
      </c>
      <c r="N17" s="12" t="s">
        <v>78</v>
      </c>
      <c r="O17" s="12"/>
      <c r="P17" s="14">
        <v>400</v>
      </c>
      <c r="Q17" s="14">
        <v>400</v>
      </c>
      <c r="R17" s="14">
        <v>400</v>
      </c>
      <c r="S17" s="14">
        <v>400</v>
      </c>
      <c r="T17" s="14">
        <v>400</v>
      </c>
      <c r="U17" s="14">
        <v>400</v>
      </c>
      <c r="V17" s="14"/>
      <c r="W17" s="14"/>
      <c r="X17" s="14"/>
      <c r="Y17" s="14"/>
      <c r="Z17" s="14"/>
      <c r="AA17" s="14"/>
      <c r="AB17" s="37">
        <f t="shared" si="3"/>
        <v>2400</v>
      </c>
      <c r="AC17" s="29"/>
      <c r="AD17" s="38">
        <f t="shared" si="21"/>
        <v>200</v>
      </c>
      <c r="AE17" s="38">
        <f t="shared" si="22"/>
        <v>200</v>
      </c>
      <c r="AF17" s="38">
        <f t="shared" si="53"/>
        <v>200</v>
      </c>
      <c r="AG17" s="38">
        <f t="shared" si="53"/>
        <v>200</v>
      </c>
      <c r="AH17" s="38">
        <f t="shared" si="24"/>
        <v>200</v>
      </c>
      <c r="AI17" s="38">
        <f t="shared" si="25"/>
        <v>200</v>
      </c>
      <c r="AJ17" s="38">
        <f t="shared" si="26"/>
        <v>0</v>
      </c>
      <c r="AK17" s="38">
        <f t="shared" si="27"/>
        <v>0</v>
      </c>
      <c r="AL17" s="38">
        <f t="shared" si="28"/>
        <v>0</v>
      </c>
      <c r="AM17" s="38">
        <f t="shared" si="29"/>
        <v>0</v>
      </c>
      <c r="AN17" s="38">
        <f t="shared" si="30"/>
        <v>0</v>
      </c>
      <c r="AO17" s="38">
        <f t="shared" si="31"/>
        <v>0</v>
      </c>
      <c r="AP17" s="39">
        <f t="shared" si="5"/>
        <v>1200</v>
      </c>
      <c r="AQ17" s="29"/>
      <c r="AR17" s="15">
        <f t="shared" si="32"/>
        <v>0.5</v>
      </c>
      <c r="AS17" s="15">
        <f t="shared" si="33"/>
        <v>0.5</v>
      </c>
      <c r="AT17" s="15">
        <f t="shared" si="42"/>
        <v>0.5</v>
      </c>
      <c r="AU17" s="15">
        <f t="shared" si="42"/>
        <v>0.5</v>
      </c>
      <c r="AV17" s="15">
        <f t="shared" si="34"/>
        <v>0.5</v>
      </c>
      <c r="AW17" s="15">
        <f t="shared" si="35"/>
        <v>0.5</v>
      </c>
      <c r="AX17" s="15" t="str">
        <f t="shared" si="36"/>
        <v/>
      </c>
      <c r="AY17" s="15" t="str">
        <f t="shared" si="37"/>
        <v/>
      </c>
      <c r="AZ17" s="15" t="str">
        <f t="shared" si="38"/>
        <v/>
      </c>
      <c r="BA17" s="15" t="str">
        <f t="shared" si="39"/>
        <v/>
      </c>
      <c r="BB17" s="15" t="str">
        <f t="shared" si="40"/>
        <v/>
      </c>
      <c r="BC17" s="15" t="str">
        <f t="shared" si="41"/>
        <v/>
      </c>
      <c r="BE17" s="14">
        <f t="shared" si="9"/>
        <v>400</v>
      </c>
      <c r="BF17" s="14">
        <f t="shared" si="10"/>
        <v>400</v>
      </c>
      <c r="BG17" s="14">
        <f t="shared" si="11"/>
        <v>400</v>
      </c>
      <c r="BH17" s="14">
        <f t="shared" si="12"/>
        <v>400</v>
      </c>
      <c r="BI17" s="14">
        <f t="shared" si="13"/>
        <v>400</v>
      </c>
      <c r="BJ17" s="14">
        <f t="shared" si="14"/>
        <v>400</v>
      </c>
      <c r="BK17" s="14">
        <f t="shared" si="15"/>
        <v>0</v>
      </c>
      <c r="BL17" s="14">
        <f t="shared" si="16"/>
        <v>0</v>
      </c>
      <c r="BM17" s="14">
        <f t="shared" si="17"/>
        <v>0</v>
      </c>
      <c r="BN17" s="14">
        <f t="shared" si="18"/>
        <v>0</v>
      </c>
      <c r="BO17" s="14">
        <f t="shared" si="19"/>
        <v>0</v>
      </c>
      <c r="BP17" s="14">
        <f t="shared" si="20"/>
        <v>0</v>
      </c>
      <c r="BQ17" s="37">
        <f t="shared" si="8"/>
        <v>2400</v>
      </c>
    </row>
    <row r="18" spans="1:69" s="16" customFormat="1" ht="18" hidden="1" customHeight="1">
      <c r="A18" s="17"/>
      <c r="B18" s="12">
        <v>20</v>
      </c>
      <c r="C18" s="12"/>
      <c r="D18" s="10" t="s">
        <v>66</v>
      </c>
      <c r="E18" s="10" t="s">
        <v>67</v>
      </c>
      <c r="F18" s="11" t="s">
        <v>93</v>
      </c>
      <c r="G18" s="11" t="s">
        <v>95</v>
      </c>
      <c r="H18" s="11" t="s">
        <v>70</v>
      </c>
      <c r="I18" s="25">
        <v>1</v>
      </c>
      <c r="J18" s="13">
        <v>0.5</v>
      </c>
      <c r="K18" s="12"/>
      <c r="L18" s="12"/>
      <c r="M18" s="12" t="s">
        <v>76</v>
      </c>
      <c r="N18" s="12" t="s">
        <v>76</v>
      </c>
      <c r="O18" s="12"/>
      <c r="P18" s="14">
        <v>800</v>
      </c>
      <c r="Q18" s="14">
        <v>800</v>
      </c>
      <c r="R18" s="14">
        <v>800</v>
      </c>
      <c r="S18" s="14">
        <v>800</v>
      </c>
      <c r="T18" s="14">
        <v>800</v>
      </c>
      <c r="U18" s="14">
        <v>800</v>
      </c>
      <c r="V18" s="14"/>
      <c r="W18" s="14"/>
      <c r="X18" s="14"/>
      <c r="Y18" s="14"/>
      <c r="Z18" s="14"/>
      <c r="AA18" s="14"/>
      <c r="AB18" s="37"/>
      <c r="AC18" s="29"/>
      <c r="AD18" s="38">
        <f>P18*$J18</f>
        <v>400</v>
      </c>
      <c r="AE18" s="38">
        <f t="shared" si="22"/>
        <v>400</v>
      </c>
      <c r="AF18" s="38">
        <f t="shared" si="53"/>
        <v>400</v>
      </c>
      <c r="AG18" s="38">
        <f t="shared" si="53"/>
        <v>400</v>
      </c>
      <c r="AH18" s="38">
        <f t="shared" si="24"/>
        <v>400</v>
      </c>
      <c r="AI18" s="38">
        <f t="shared" si="25"/>
        <v>400</v>
      </c>
      <c r="AJ18" s="38">
        <f t="shared" si="26"/>
        <v>0</v>
      </c>
      <c r="AK18" s="38">
        <f t="shared" si="27"/>
        <v>0</v>
      </c>
      <c r="AL18" s="38">
        <f t="shared" si="28"/>
        <v>0</v>
      </c>
      <c r="AM18" s="38">
        <f t="shared" si="29"/>
        <v>0</v>
      </c>
      <c r="AN18" s="38">
        <f t="shared" si="30"/>
        <v>0</v>
      </c>
      <c r="AO18" s="38">
        <f t="shared" si="31"/>
        <v>0</v>
      </c>
      <c r="AP18" s="39">
        <f t="shared" si="5"/>
        <v>2400</v>
      </c>
      <c r="AQ18" s="29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E18" s="14">
        <f t="shared" si="9"/>
        <v>800</v>
      </c>
      <c r="BF18" s="14">
        <f t="shared" si="10"/>
        <v>800</v>
      </c>
      <c r="BG18" s="14">
        <f t="shared" si="11"/>
        <v>800</v>
      </c>
      <c r="BH18" s="14">
        <f t="shared" si="12"/>
        <v>800</v>
      </c>
      <c r="BI18" s="14">
        <f t="shared" si="13"/>
        <v>800</v>
      </c>
      <c r="BJ18" s="14">
        <f t="shared" si="14"/>
        <v>800</v>
      </c>
      <c r="BK18" s="14">
        <f t="shared" si="15"/>
        <v>0</v>
      </c>
      <c r="BL18" s="14">
        <f t="shared" si="16"/>
        <v>0</v>
      </c>
      <c r="BM18" s="14">
        <f t="shared" si="17"/>
        <v>0</v>
      </c>
      <c r="BN18" s="14">
        <f t="shared" si="18"/>
        <v>0</v>
      </c>
      <c r="BO18" s="14">
        <f t="shared" si="19"/>
        <v>0</v>
      </c>
      <c r="BP18" s="14">
        <f t="shared" si="20"/>
        <v>0</v>
      </c>
      <c r="BQ18" s="37"/>
    </row>
    <row r="19" spans="1:69" s="16" customFormat="1" ht="18" hidden="1" customHeight="1">
      <c r="A19" s="17"/>
      <c r="B19" s="12">
        <v>21</v>
      </c>
      <c r="C19" s="12"/>
      <c r="D19" s="10" t="s">
        <v>66</v>
      </c>
      <c r="E19" s="10" t="s">
        <v>67</v>
      </c>
      <c r="F19" s="11" t="s">
        <v>93</v>
      </c>
      <c r="G19" s="11" t="s">
        <v>96</v>
      </c>
      <c r="H19" s="11" t="s">
        <v>70</v>
      </c>
      <c r="I19" s="25">
        <v>1</v>
      </c>
      <c r="J19" s="13">
        <v>0.5</v>
      </c>
      <c r="K19" s="12"/>
      <c r="L19" s="12"/>
      <c r="M19" s="12" t="s">
        <v>76</v>
      </c>
      <c r="N19" s="12" t="s">
        <v>76</v>
      </c>
      <c r="O19" s="12"/>
      <c r="P19" s="14">
        <v>200</v>
      </c>
      <c r="Q19" s="14">
        <v>200</v>
      </c>
      <c r="R19" s="14">
        <v>200</v>
      </c>
      <c r="S19" s="14">
        <v>200</v>
      </c>
      <c r="T19" s="14">
        <v>200</v>
      </c>
      <c r="U19" s="14">
        <v>200</v>
      </c>
      <c r="V19" s="14"/>
      <c r="W19" s="14"/>
      <c r="X19" s="14"/>
      <c r="Y19" s="14"/>
      <c r="Z19" s="14"/>
      <c r="AA19" s="14"/>
      <c r="AB19" s="37"/>
      <c r="AC19" s="29"/>
      <c r="AD19" s="38">
        <f t="shared" si="21"/>
        <v>100</v>
      </c>
      <c r="AE19" s="38">
        <f t="shared" si="22"/>
        <v>100</v>
      </c>
      <c r="AF19" s="38">
        <f t="shared" si="53"/>
        <v>100</v>
      </c>
      <c r="AG19" s="38">
        <f t="shared" si="53"/>
        <v>100</v>
      </c>
      <c r="AH19" s="38">
        <f t="shared" si="24"/>
        <v>100</v>
      </c>
      <c r="AI19" s="38">
        <f t="shared" si="25"/>
        <v>100</v>
      </c>
      <c r="AJ19" s="38">
        <f t="shared" si="26"/>
        <v>0</v>
      </c>
      <c r="AK19" s="38">
        <f t="shared" si="27"/>
        <v>0</v>
      </c>
      <c r="AL19" s="38">
        <f t="shared" si="28"/>
        <v>0</v>
      </c>
      <c r="AM19" s="38">
        <f t="shared" si="29"/>
        <v>0</v>
      </c>
      <c r="AN19" s="38">
        <f t="shared" si="30"/>
        <v>0</v>
      </c>
      <c r="AO19" s="38">
        <f t="shared" si="31"/>
        <v>0</v>
      </c>
      <c r="AP19" s="39">
        <f t="shared" si="5"/>
        <v>600</v>
      </c>
      <c r="AQ19" s="29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E19" s="14">
        <f t="shared" si="9"/>
        <v>200</v>
      </c>
      <c r="BF19" s="14">
        <f t="shared" si="10"/>
        <v>200</v>
      </c>
      <c r="BG19" s="14">
        <f t="shared" si="11"/>
        <v>200</v>
      </c>
      <c r="BH19" s="14">
        <f t="shared" si="12"/>
        <v>200</v>
      </c>
      <c r="BI19" s="14">
        <f t="shared" si="13"/>
        <v>200</v>
      </c>
      <c r="BJ19" s="14">
        <f t="shared" si="14"/>
        <v>200</v>
      </c>
      <c r="BK19" s="14">
        <f t="shared" si="15"/>
        <v>0</v>
      </c>
      <c r="BL19" s="14">
        <f t="shared" si="16"/>
        <v>0</v>
      </c>
      <c r="BM19" s="14">
        <f t="shared" si="17"/>
        <v>0</v>
      </c>
      <c r="BN19" s="14">
        <f t="shared" si="18"/>
        <v>0</v>
      </c>
      <c r="BO19" s="14">
        <f t="shared" si="19"/>
        <v>0</v>
      </c>
      <c r="BP19" s="14">
        <f t="shared" si="20"/>
        <v>0</v>
      </c>
      <c r="BQ19" s="37"/>
    </row>
    <row r="20" spans="1:69" s="16" customFormat="1" ht="18" hidden="1" customHeight="1">
      <c r="A20" s="17"/>
      <c r="B20" s="12">
        <v>42</v>
      </c>
      <c r="C20" s="12"/>
      <c r="D20" s="48" t="s">
        <v>66</v>
      </c>
      <c r="E20" s="48" t="s">
        <v>67</v>
      </c>
      <c r="F20" s="11" t="s">
        <v>89</v>
      </c>
      <c r="G20" s="11" t="s">
        <v>97</v>
      </c>
      <c r="H20" s="11" t="s">
        <v>70</v>
      </c>
      <c r="I20" s="45">
        <v>1</v>
      </c>
      <c r="J20" s="45">
        <v>0.5</v>
      </c>
      <c r="K20" s="12"/>
      <c r="L20" s="12"/>
      <c r="M20" s="12" t="s">
        <v>76</v>
      </c>
      <c r="N20" s="12" t="s">
        <v>72</v>
      </c>
      <c r="O20" s="12"/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400</v>
      </c>
      <c r="V20" s="14">
        <v>400</v>
      </c>
      <c r="W20" s="14">
        <v>400</v>
      </c>
      <c r="X20" s="14">
        <v>400</v>
      </c>
      <c r="Y20" s="14"/>
      <c r="Z20" s="14"/>
      <c r="AA20" s="14"/>
      <c r="AB20" s="37">
        <f t="shared" ref="AB20:AB51" si="54">SUM(P20:AA20)</f>
        <v>1600</v>
      </c>
      <c r="AC20" s="29"/>
      <c r="AD20" s="38">
        <f t="shared" si="21"/>
        <v>0</v>
      </c>
      <c r="AE20" s="38">
        <f t="shared" si="22"/>
        <v>0</v>
      </c>
      <c r="AF20" s="38">
        <f>R21*$J20</f>
        <v>0</v>
      </c>
      <c r="AG20" s="38">
        <f>S21*$J20</f>
        <v>0</v>
      </c>
      <c r="AH20" s="38">
        <f t="shared" si="24"/>
        <v>0</v>
      </c>
      <c r="AI20" s="38">
        <f t="shared" si="25"/>
        <v>200</v>
      </c>
      <c r="AJ20" s="38">
        <f t="shared" si="26"/>
        <v>200</v>
      </c>
      <c r="AK20" s="38">
        <f t="shared" si="27"/>
        <v>200</v>
      </c>
      <c r="AL20" s="38">
        <f t="shared" si="28"/>
        <v>200</v>
      </c>
      <c r="AM20" s="38">
        <f t="shared" si="29"/>
        <v>0</v>
      </c>
      <c r="AN20" s="38">
        <f t="shared" si="30"/>
        <v>0</v>
      </c>
      <c r="AO20" s="38">
        <f t="shared" si="31"/>
        <v>0</v>
      </c>
      <c r="AP20" s="39">
        <f t="shared" si="5"/>
        <v>800</v>
      </c>
      <c r="AQ20" s="29"/>
      <c r="AR20" s="15" t="str">
        <f t="shared" ref="AR20:AR36" si="55">IFERROR((P20-AD20)/P20,"")</f>
        <v/>
      </c>
      <c r="AS20" s="15" t="str">
        <f t="shared" ref="AS20:AS36" si="56">IFERROR((Q20-AE20)/Q20,"")</f>
        <v/>
      </c>
      <c r="AT20" s="15" t="str">
        <f t="shared" ref="AT20:AT36" si="57">IFERROR((R20-AF20)/R20,"")</f>
        <v/>
      </c>
      <c r="AU20" s="15" t="str">
        <f t="shared" ref="AU20:AU36" si="58">IFERROR((S20-AG20)/S20,"")</f>
        <v/>
      </c>
      <c r="AV20" s="15" t="str">
        <f t="shared" ref="AV20:AV36" si="59">IFERROR((T20-AH20)/T20,"")</f>
        <v/>
      </c>
      <c r="AW20" s="15">
        <f t="shared" ref="AW20:AW36" si="60">IFERROR((U20-AI20)/U20,"")</f>
        <v>0.5</v>
      </c>
      <c r="AX20" s="15">
        <f t="shared" ref="AX20:AX36" si="61">IFERROR((V20-AJ20)/V20,"")</f>
        <v>0.5</v>
      </c>
      <c r="AY20" s="15">
        <f t="shared" ref="AY20:AY36" si="62">IFERROR((W20-AK20)/W20,"")</f>
        <v>0.5</v>
      </c>
      <c r="AZ20" s="15">
        <f t="shared" ref="AZ20:AZ36" si="63">IFERROR((X20-AL20)/X20,"")</f>
        <v>0.5</v>
      </c>
      <c r="BA20" s="15" t="str">
        <f t="shared" ref="BA20:BA36" si="64">IFERROR((Y20-AM20)/Y20,"")</f>
        <v/>
      </c>
      <c r="BB20" s="15" t="str">
        <f t="shared" ref="BB20:BB36" si="65">IFERROR((Z20-AN20)/Z20,"")</f>
        <v/>
      </c>
      <c r="BC20" s="15" t="str">
        <f t="shared" ref="BC20:BC36" si="66">IFERROR((AA20-AO20)/AA20,"")</f>
        <v/>
      </c>
      <c r="BE20" s="14">
        <f t="shared" si="9"/>
        <v>0</v>
      </c>
      <c r="BF20" s="14">
        <f t="shared" si="10"/>
        <v>0</v>
      </c>
      <c r="BG20" s="14">
        <f t="shared" si="11"/>
        <v>0</v>
      </c>
      <c r="BH20" s="14">
        <f t="shared" si="12"/>
        <v>0</v>
      </c>
      <c r="BI20" s="14">
        <f t="shared" si="13"/>
        <v>0</v>
      </c>
      <c r="BJ20" s="14">
        <f t="shared" si="14"/>
        <v>400</v>
      </c>
      <c r="BK20" s="14">
        <f t="shared" si="15"/>
        <v>400</v>
      </c>
      <c r="BL20" s="14">
        <f t="shared" si="16"/>
        <v>400</v>
      </c>
      <c r="BM20" s="14">
        <f t="shared" si="17"/>
        <v>400</v>
      </c>
      <c r="BN20" s="14">
        <f t="shared" si="18"/>
        <v>0</v>
      </c>
      <c r="BO20" s="14">
        <f t="shared" si="19"/>
        <v>0</v>
      </c>
      <c r="BP20" s="14">
        <f t="shared" si="20"/>
        <v>0</v>
      </c>
      <c r="BQ20" s="37">
        <f t="shared" ref="BQ20:BQ51" si="67">SUM(BE20:BP20)</f>
        <v>1600</v>
      </c>
    </row>
    <row r="21" spans="1:69" s="16" customFormat="1" ht="18" hidden="1" customHeight="1">
      <c r="A21" s="17"/>
      <c r="B21" s="12">
        <v>43</v>
      </c>
      <c r="C21" s="12"/>
      <c r="D21" s="10" t="s">
        <v>66</v>
      </c>
      <c r="E21" s="10" t="s">
        <v>67</v>
      </c>
      <c r="F21" s="11" t="s">
        <v>68</v>
      </c>
      <c r="G21" s="11" t="s">
        <v>82</v>
      </c>
      <c r="H21" s="11" t="s">
        <v>98</v>
      </c>
      <c r="I21" s="13">
        <v>1</v>
      </c>
      <c r="J21" s="13">
        <v>0.5</v>
      </c>
      <c r="K21" s="12"/>
      <c r="L21" s="12"/>
      <c r="M21" s="12" t="s">
        <v>78</v>
      </c>
      <c r="N21" s="12" t="s">
        <v>99</v>
      </c>
      <c r="O21" s="12"/>
      <c r="P21" s="14">
        <v>0</v>
      </c>
      <c r="Q21" s="14">
        <v>0</v>
      </c>
      <c r="R21" s="14">
        <v>0</v>
      </c>
      <c r="S21" s="14">
        <v>0</v>
      </c>
      <c r="T21" s="14">
        <v>80</v>
      </c>
      <c r="U21" s="14">
        <v>80</v>
      </c>
      <c r="V21" s="14"/>
      <c r="W21" s="14"/>
      <c r="X21" s="14"/>
      <c r="Y21" s="14"/>
      <c r="Z21" s="14"/>
      <c r="AA21" s="14"/>
      <c r="AB21" s="37">
        <f t="shared" si="54"/>
        <v>160</v>
      </c>
      <c r="AC21" s="29"/>
      <c r="AD21" s="38">
        <f t="shared" si="21"/>
        <v>0</v>
      </c>
      <c r="AE21" s="38">
        <f t="shared" si="22"/>
        <v>0</v>
      </c>
      <c r="AF21" s="38">
        <f>R21*$J21</f>
        <v>0</v>
      </c>
      <c r="AG21" s="38">
        <f>S21*$J21</f>
        <v>0</v>
      </c>
      <c r="AH21" s="38">
        <f t="shared" si="24"/>
        <v>40</v>
      </c>
      <c r="AI21" s="38">
        <f t="shared" si="25"/>
        <v>40</v>
      </c>
      <c r="AJ21" s="38">
        <f t="shared" si="26"/>
        <v>0</v>
      </c>
      <c r="AK21" s="38">
        <f t="shared" si="27"/>
        <v>0</v>
      </c>
      <c r="AL21" s="38">
        <f t="shared" si="28"/>
        <v>0</v>
      </c>
      <c r="AM21" s="38">
        <f t="shared" si="29"/>
        <v>0</v>
      </c>
      <c r="AN21" s="38">
        <f t="shared" si="30"/>
        <v>0</v>
      </c>
      <c r="AO21" s="38">
        <f t="shared" si="31"/>
        <v>0</v>
      </c>
      <c r="AP21" s="39">
        <f t="shared" si="5"/>
        <v>80</v>
      </c>
      <c r="AQ21" s="29"/>
      <c r="AR21" s="15" t="str">
        <f t="shared" si="55"/>
        <v/>
      </c>
      <c r="AS21" s="15" t="str">
        <f t="shared" si="56"/>
        <v/>
      </c>
      <c r="AT21" s="15" t="str">
        <f t="shared" si="57"/>
        <v/>
      </c>
      <c r="AU21" s="15" t="str">
        <f t="shared" si="58"/>
        <v/>
      </c>
      <c r="AV21" s="15">
        <f t="shared" si="59"/>
        <v>0.5</v>
      </c>
      <c r="AW21" s="15">
        <f t="shared" si="60"/>
        <v>0.5</v>
      </c>
      <c r="AX21" s="15" t="str">
        <f t="shared" si="61"/>
        <v/>
      </c>
      <c r="AY21" s="15" t="str">
        <f t="shared" si="62"/>
        <v/>
      </c>
      <c r="AZ21" s="15" t="str">
        <f t="shared" si="63"/>
        <v/>
      </c>
      <c r="BA21" s="15" t="str">
        <f t="shared" si="64"/>
        <v/>
      </c>
      <c r="BB21" s="15" t="str">
        <f t="shared" si="65"/>
        <v/>
      </c>
      <c r="BC21" s="15" t="str">
        <f t="shared" si="66"/>
        <v/>
      </c>
      <c r="BE21" s="14">
        <f t="shared" si="9"/>
        <v>0</v>
      </c>
      <c r="BF21" s="14">
        <f t="shared" si="10"/>
        <v>0</v>
      </c>
      <c r="BG21" s="14">
        <f t="shared" si="11"/>
        <v>0</v>
      </c>
      <c r="BH21" s="14">
        <f t="shared" si="12"/>
        <v>0</v>
      </c>
      <c r="BI21" s="14">
        <f t="shared" si="13"/>
        <v>80</v>
      </c>
      <c r="BJ21" s="14">
        <f t="shared" si="14"/>
        <v>80</v>
      </c>
      <c r="BK21" s="14">
        <f t="shared" si="15"/>
        <v>0</v>
      </c>
      <c r="BL21" s="14">
        <f t="shared" si="16"/>
        <v>0</v>
      </c>
      <c r="BM21" s="14">
        <f t="shared" si="17"/>
        <v>0</v>
      </c>
      <c r="BN21" s="14">
        <f t="shared" si="18"/>
        <v>0</v>
      </c>
      <c r="BO21" s="14">
        <f t="shared" si="19"/>
        <v>0</v>
      </c>
      <c r="BP21" s="14">
        <f t="shared" si="20"/>
        <v>0</v>
      </c>
      <c r="BQ21" s="37">
        <f t="shared" si="67"/>
        <v>160</v>
      </c>
    </row>
    <row r="22" spans="1:69" s="16" customFormat="1" ht="18" customHeight="1">
      <c r="A22" s="17"/>
      <c r="B22" s="12">
        <v>52</v>
      </c>
      <c r="C22" s="12" t="s">
        <v>100</v>
      </c>
      <c r="D22" s="11" t="s">
        <v>66</v>
      </c>
      <c r="E22" s="11" t="s">
        <v>67</v>
      </c>
      <c r="F22" s="11" t="s">
        <v>68</v>
      </c>
      <c r="G22" s="11" t="s">
        <v>101</v>
      </c>
      <c r="H22" s="11" t="s">
        <v>98</v>
      </c>
      <c r="I22" s="13">
        <v>1</v>
      </c>
      <c r="J22" s="13">
        <v>0.5</v>
      </c>
      <c r="K22" s="12"/>
      <c r="L22" s="12"/>
      <c r="M22" s="12" t="s">
        <v>72</v>
      </c>
      <c r="N22" s="12" t="s">
        <v>102</v>
      </c>
      <c r="O22" s="12" t="s">
        <v>103</v>
      </c>
      <c r="P22" s="14"/>
      <c r="Q22" s="14"/>
      <c r="R22" s="14"/>
      <c r="S22" s="14"/>
      <c r="T22" s="14"/>
      <c r="U22" s="14"/>
      <c r="V22" s="14">
        <v>1750</v>
      </c>
      <c r="W22" s="14">
        <v>1750</v>
      </c>
      <c r="X22" s="14">
        <v>300</v>
      </c>
      <c r="Y22" s="14">
        <v>300</v>
      </c>
      <c r="Z22" s="14">
        <v>300</v>
      </c>
      <c r="AA22" s="14">
        <v>300</v>
      </c>
      <c r="AB22" s="37">
        <f t="shared" si="54"/>
        <v>4700</v>
      </c>
      <c r="AC22" s="29"/>
      <c r="AD22" s="38">
        <f t="shared" si="21"/>
        <v>0</v>
      </c>
      <c r="AE22" s="38">
        <f t="shared" si="22"/>
        <v>0</v>
      </c>
      <c r="AF22" s="38">
        <f>R23*$J22</f>
        <v>0</v>
      </c>
      <c r="AG22" s="38">
        <f>S23*$J22</f>
        <v>0</v>
      </c>
      <c r="AH22" s="38">
        <f t="shared" si="24"/>
        <v>0</v>
      </c>
      <c r="AI22" s="38">
        <f t="shared" si="25"/>
        <v>0</v>
      </c>
      <c r="AJ22" s="38">
        <f t="shared" si="26"/>
        <v>875</v>
      </c>
      <c r="AK22" s="38">
        <f t="shared" si="27"/>
        <v>875</v>
      </c>
      <c r="AL22" s="38">
        <f t="shared" si="28"/>
        <v>150</v>
      </c>
      <c r="AM22" s="38">
        <f t="shared" si="29"/>
        <v>150</v>
      </c>
      <c r="AN22" s="38">
        <f t="shared" si="30"/>
        <v>150</v>
      </c>
      <c r="AO22" s="38">
        <f t="shared" si="31"/>
        <v>150</v>
      </c>
      <c r="AP22" s="39">
        <f t="shared" si="5"/>
        <v>2350</v>
      </c>
      <c r="AQ22" s="29"/>
      <c r="AR22" s="15" t="str">
        <f t="shared" si="55"/>
        <v/>
      </c>
      <c r="AS22" s="15" t="str">
        <f t="shared" si="56"/>
        <v/>
      </c>
      <c r="AT22" s="15" t="str">
        <f t="shared" si="57"/>
        <v/>
      </c>
      <c r="AU22" s="15" t="str">
        <f t="shared" si="58"/>
        <v/>
      </c>
      <c r="AV22" s="15" t="str">
        <f t="shared" si="59"/>
        <v/>
      </c>
      <c r="AW22" s="15" t="str">
        <f t="shared" si="60"/>
        <v/>
      </c>
      <c r="AX22" s="15">
        <f t="shared" si="61"/>
        <v>0.5</v>
      </c>
      <c r="AY22" s="15">
        <f t="shared" si="62"/>
        <v>0.5</v>
      </c>
      <c r="AZ22" s="15">
        <f t="shared" si="63"/>
        <v>0.5</v>
      </c>
      <c r="BA22" s="15">
        <f t="shared" si="64"/>
        <v>0.5</v>
      </c>
      <c r="BB22" s="15">
        <f t="shared" si="65"/>
        <v>0.5</v>
      </c>
      <c r="BC22" s="15">
        <f t="shared" si="66"/>
        <v>0.5</v>
      </c>
      <c r="BE22" s="14">
        <f t="shared" si="9"/>
        <v>0</v>
      </c>
      <c r="BF22" s="14">
        <f t="shared" si="10"/>
        <v>0</v>
      </c>
      <c r="BG22" s="14">
        <f t="shared" si="11"/>
        <v>0</v>
      </c>
      <c r="BH22" s="14">
        <f t="shared" si="12"/>
        <v>0</v>
      </c>
      <c r="BI22" s="14">
        <f t="shared" si="13"/>
        <v>0</v>
      </c>
      <c r="BJ22" s="14">
        <f t="shared" si="14"/>
        <v>0</v>
      </c>
      <c r="BK22" s="14">
        <f t="shared" si="15"/>
        <v>1750</v>
      </c>
      <c r="BL22" s="14">
        <f t="shared" si="16"/>
        <v>1750</v>
      </c>
      <c r="BM22" s="14">
        <f t="shared" si="17"/>
        <v>300</v>
      </c>
      <c r="BN22" s="14">
        <f t="shared" si="18"/>
        <v>300</v>
      </c>
      <c r="BO22" s="14">
        <f t="shared" si="19"/>
        <v>300</v>
      </c>
      <c r="BP22" s="14">
        <f t="shared" si="20"/>
        <v>300</v>
      </c>
      <c r="BQ22" s="37">
        <f t="shared" si="67"/>
        <v>4700</v>
      </c>
    </row>
    <row r="23" spans="1:69" s="16" customFormat="1" ht="18" customHeight="1">
      <c r="A23" s="17"/>
      <c r="B23" s="12">
        <v>59</v>
      </c>
      <c r="C23" s="12"/>
      <c r="D23" s="11" t="s">
        <v>66</v>
      </c>
      <c r="E23" s="11" t="s">
        <v>67</v>
      </c>
      <c r="F23" s="11" t="s">
        <v>68</v>
      </c>
      <c r="G23" s="11" t="s">
        <v>104</v>
      </c>
      <c r="H23" s="11" t="s">
        <v>75</v>
      </c>
      <c r="I23" s="13">
        <v>0.5</v>
      </c>
      <c r="J23" s="13">
        <v>0.5</v>
      </c>
      <c r="K23" s="12"/>
      <c r="L23" s="12"/>
      <c r="M23" s="12" t="s">
        <v>12</v>
      </c>
      <c r="N23" s="12" t="s">
        <v>14</v>
      </c>
      <c r="O23" s="12"/>
      <c r="P23" s="14"/>
      <c r="Q23" s="14"/>
      <c r="R23" s="14"/>
      <c r="S23" s="14"/>
      <c r="T23" s="14"/>
      <c r="U23" s="14"/>
      <c r="V23" s="14">
        <v>2000</v>
      </c>
      <c r="W23" s="14">
        <v>2000</v>
      </c>
      <c r="X23" s="14"/>
      <c r="Y23" s="14"/>
      <c r="Z23" s="14"/>
      <c r="AA23" s="14"/>
      <c r="AB23" s="37">
        <f t="shared" si="54"/>
        <v>4000</v>
      </c>
      <c r="AC23" s="29"/>
      <c r="AD23" s="38">
        <f t="shared" si="21"/>
        <v>0</v>
      </c>
      <c r="AE23" s="38">
        <f t="shared" si="22"/>
        <v>0</v>
      </c>
      <c r="AF23" s="38">
        <f t="shared" ref="AF23:AF31" si="68">R23*$J23</f>
        <v>0</v>
      </c>
      <c r="AG23" s="38">
        <f t="shared" ref="AG23:AG31" si="69">S23*$J23</f>
        <v>0</v>
      </c>
      <c r="AH23" s="38">
        <f t="shared" si="24"/>
        <v>0</v>
      </c>
      <c r="AI23" s="38">
        <f t="shared" si="25"/>
        <v>0</v>
      </c>
      <c r="AJ23" s="38">
        <f t="shared" si="26"/>
        <v>1000</v>
      </c>
      <c r="AK23" s="38">
        <f t="shared" si="27"/>
        <v>1000</v>
      </c>
      <c r="AL23" s="38">
        <f t="shared" si="28"/>
        <v>0</v>
      </c>
      <c r="AM23" s="38">
        <f t="shared" si="29"/>
        <v>0</v>
      </c>
      <c r="AN23" s="38">
        <f t="shared" si="30"/>
        <v>0</v>
      </c>
      <c r="AO23" s="38">
        <f t="shared" si="31"/>
        <v>0</v>
      </c>
      <c r="AP23" s="39">
        <f t="shared" si="5"/>
        <v>2000</v>
      </c>
      <c r="AQ23" s="29"/>
      <c r="AR23" s="15" t="str">
        <f t="shared" si="55"/>
        <v/>
      </c>
      <c r="AS23" s="15" t="str">
        <f t="shared" si="56"/>
        <v/>
      </c>
      <c r="AT23" s="15" t="str">
        <f t="shared" si="57"/>
        <v/>
      </c>
      <c r="AU23" s="15" t="str">
        <f t="shared" si="58"/>
        <v/>
      </c>
      <c r="AV23" s="15" t="str">
        <f t="shared" si="59"/>
        <v/>
      </c>
      <c r="AW23" s="15" t="str">
        <f t="shared" si="60"/>
        <v/>
      </c>
      <c r="AX23" s="15">
        <f t="shared" si="61"/>
        <v>0.5</v>
      </c>
      <c r="AY23" s="15">
        <f t="shared" si="62"/>
        <v>0.5</v>
      </c>
      <c r="AZ23" s="15" t="str">
        <f t="shared" si="63"/>
        <v/>
      </c>
      <c r="BA23" s="15" t="str">
        <f t="shared" si="64"/>
        <v/>
      </c>
      <c r="BB23" s="15" t="str">
        <f t="shared" si="65"/>
        <v/>
      </c>
      <c r="BC23" s="15" t="str">
        <f t="shared" si="66"/>
        <v/>
      </c>
      <c r="BE23" s="14">
        <f t="shared" si="9"/>
        <v>0</v>
      </c>
      <c r="BF23" s="14">
        <f t="shared" si="10"/>
        <v>0</v>
      </c>
      <c r="BG23" s="14">
        <f t="shared" si="11"/>
        <v>0</v>
      </c>
      <c r="BH23" s="14">
        <f t="shared" si="12"/>
        <v>0</v>
      </c>
      <c r="BI23" s="14">
        <f t="shared" si="13"/>
        <v>0</v>
      </c>
      <c r="BJ23" s="14">
        <f t="shared" si="14"/>
        <v>0</v>
      </c>
      <c r="BK23" s="14">
        <f t="shared" si="15"/>
        <v>1000</v>
      </c>
      <c r="BL23" s="14">
        <f t="shared" si="16"/>
        <v>1000</v>
      </c>
      <c r="BM23" s="14">
        <f t="shared" si="17"/>
        <v>0</v>
      </c>
      <c r="BN23" s="14">
        <f t="shared" si="18"/>
        <v>0</v>
      </c>
      <c r="BO23" s="14">
        <f t="shared" si="19"/>
        <v>0</v>
      </c>
      <c r="BP23" s="14">
        <f t="shared" si="20"/>
        <v>0</v>
      </c>
      <c r="BQ23" s="37">
        <f t="shared" si="67"/>
        <v>2000</v>
      </c>
    </row>
    <row r="24" spans="1:69" s="16" customFormat="1" ht="18" hidden="1" customHeight="1">
      <c r="A24" s="17"/>
      <c r="B24" s="12">
        <v>62</v>
      </c>
      <c r="C24" s="12"/>
      <c r="D24" s="10" t="s">
        <v>66</v>
      </c>
      <c r="E24" s="10" t="s">
        <v>67</v>
      </c>
      <c r="F24" s="11" t="s">
        <v>87</v>
      </c>
      <c r="G24" s="11" t="s">
        <v>105</v>
      </c>
      <c r="H24" s="11" t="s">
        <v>70</v>
      </c>
      <c r="I24" s="51">
        <v>1</v>
      </c>
      <c r="J24" s="25">
        <v>0.2</v>
      </c>
      <c r="K24" s="12"/>
      <c r="L24" s="12"/>
      <c r="M24" s="12"/>
      <c r="N24" s="12"/>
      <c r="O24" s="12"/>
      <c r="P24" s="52">
        <v>400</v>
      </c>
      <c r="Q24" s="52">
        <v>400</v>
      </c>
      <c r="R24" s="52">
        <v>400</v>
      </c>
      <c r="S24" s="52"/>
      <c r="T24" s="52">
        <v>400</v>
      </c>
      <c r="U24" s="52">
        <v>800</v>
      </c>
      <c r="V24" s="52"/>
      <c r="W24" s="52"/>
      <c r="X24" s="52"/>
      <c r="Y24" s="14"/>
      <c r="Z24" s="14"/>
      <c r="AA24" s="14"/>
      <c r="AB24" s="37">
        <f t="shared" si="54"/>
        <v>2400</v>
      </c>
      <c r="AC24" s="29"/>
      <c r="AD24" s="38">
        <f t="shared" si="21"/>
        <v>80</v>
      </c>
      <c r="AE24" s="38">
        <f t="shared" si="22"/>
        <v>80</v>
      </c>
      <c r="AF24" s="38">
        <f t="shared" si="68"/>
        <v>80</v>
      </c>
      <c r="AG24" s="38">
        <f t="shared" si="69"/>
        <v>0</v>
      </c>
      <c r="AH24" s="38">
        <f t="shared" si="24"/>
        <v>80</v>
      </c>
      <c r="AI24" s="38">
        <f t="shared" si="25"/>
        <v>160</v>
      </c>
      <c r="AJ24" s="38">
        <f t="shared" si="26"/>
        <v>0</v>
      </c>
      <c r="AK24" s="38">
        <f t="shared" si="27"/>
        <v>0</v>
      </c>
      <c r="AL24" s="38">
        <f t="shared" si="28"/>
        <v>0</v>
      </c>
      <c r="AM24" s="38">
        <f t="shared" si="29"/>
        <v>0</v>
      </c>
      <c r="AN24" s="38">
        <f t="shared" si="30"/>
        <v>0</v>
      </c>
      <c r="AO24" s="38">
        <f t="shared" si="31"/>
        <v>0</v>
      </c>
      <c r="AP24" s="39">
        <f t="shared" si="5"/>
        <v>480</v>
      </c>
      <c r="AQ24" s="29"/>
      <c r="AR24" s="15">
        <f t="shared" si="55"/>
        <v>0.8</v>
      </c>
      <c r="AS24" s="15">
        <f t="shared" si="56"/>
        <v>0.8</v>
      </c>
      <c r="AT24" s="15">
        <f t="shared" si="57"/>
        <v>0.8</v>
      </c>
      <c r="AU24" s="15" t="str">
        <f t="shared" si="58"/>
        <v/>
      </c>
      <c r="AV24" s="15">
        <f t="shared" si="59"/>
        <v>0.8</v>
      </c>
      <c r="AW24" s="15">
        <f t="shared" si="60"/>
        <v>0.8</v>
      </c>
      <c r="AX24" s="15" t="str">
        <f t="shared" si="61"/>
        <v/>
      </c>
      <c r="AY24" s="15" t="str">
        <f t="shared" si="62"/>
        <v/>
      </c>
      <c r="AZ24" s="15" t="str">
        <f t="shared" si="63"/>
        <v/>
      </c>
      <c r="BA24" s="15" t="str">
        <f t="shared" si="64"/>
        <v/>
      </c>
      <c r="BB24" s="15" t="str">
        <f t="shared" si="65"/>
        <v/>
      </c>
      <c r="BC24" s="15" t="str">
        <f t="shared" si="66"/>
        <v/>
      </c>
      <c r="BE24" s="14">
        <f t="shared" si="9"/>
        <v>400</v>
      </c>
      <c r="BF24" s="14">
        <f t="shared" si="10"/>
        <v>400</v>
      </c>
      <c r="BG24" s="14">
        <f t="shared" si="11"/>
        <v>400</v>
      </c>
      <c r="BH24" s="14">
        <f t="shared" si="12"/>
        <v>0</v>
      </c>
      <c r="BI24" s="14">
        <f t="shared" si="13"/>
        <v>400</v>
      </c>
      <c r="BJ24" s="14">
        <f t="shared" si="14"/>
        <v>800</v>
      </c>
      <c r="BK24" s="14">
        <f t="shared" si="15"/>
        <v>0</v>
      </c>
      <c r="BL24" s="14">
        <f t="shared" si="16"/>
        <v>0</v>
      </c>
      <c r="BM24" s="14">
        <f t="shared" si="17"/>
        <v>0</v>
      </c>
      <c r="BN24" s="14">
        <f t="shared" si="18"/>
        <v>0</v>
      </c>
      <c r="BO24" s="14">
        <f t="shared" si="19"/>
        <v>0</v>
      </c>
      <c r="BP24" s="14">
        <f t="shared" si="20"/>
        <v>0</v>
      </c>
      <c r="BQ24" s="37">
        <f t="shared" si="67"/>
        <v>2400</v>
      </c>
    </row>
    <row r="25" spans="1:69" s="16" customFormat="1" ht="18" hidden="1" customHeight="1">
      <c r="A25" s="17"/>
      <c r="B25" s="12">
        <v>38</v>
      </c>
      <c r="C25" s="12"/>
      <c r="D25" s="11" t="s">
        <v>106</v>
      </c>
      <c r="E25" s="10" t="s">
        <v>67</v>
      </c>
      <c r="F25" s="11" t="s">
        <v>107</v>
      </c>
      <c r="G25" s="11"/>
      <c r="H25" s="11" t="s">
        <v>70</v>
      </c>
      <c r="I25" s="13">
        <v>1</v>
      </c>
      <c r="J25" s="13">
        <v>0.5</v>
      </c>
      <c r="K25" s="12"/>
      <c r="L25" s="12"/>
      <c r="M25" s="12" t="s">
        <v>76</v>
      </c>
      <c r="N25" s="12" t="s">
        <v>76</v>
      </c>
      <c r="O25" s="12"/>
      <c r="P25" s="14">
        <v>400</v>
      </c>
      <c r="Q25" s="14">
        <v>100</v>
      </c>
      <c r="R25" s="14">
        <v>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14">
        <v>0</v>
      </c>
      <c r="Z25" s="14">
        <v>0</v>
      </c>
      <c r="AA25" s="14">
        <v>0</v>
      </c>
      <c r="AB25" s="37">
        <f t="shared" si="54"/>
        <v>500</v>
      </c>
      <c r="AC25" s="29"/>
      <c r="AD25" s="38">
        <f t="shared" si="21"/>
        <v>200</v>
      </c>
      <c r="AE25" s="38">
        <f t="shared" si="22"/>
        <v>50</v>
      </c>
      <c r="AF25" s="38">
        <f t="shared" si="68"/>
        <v>0</v>
      </c>
      <c r="AG25" s="38">
        <f t="shared" si="69"/>
        <v>0</v>
      </c>
      <c r="AH25" s="38">
        <f t="shared" si="24"/>
        <v>0</v>
      </c>
      <c r="AI25" s="38">
        <f t="shared" si="25"/>
        <v>0</v>
      </c>
      <c r="AJ25" s="38">
        <f t="shared" si="26"/>
        <v>0</v>
      </c>
      <c r="AK25" s="38">
        <f t="shared" si="27"/>
        <v>0</v>
      </c>
      <c r="AL25" s="38">
        <f t="shared" si="28"/>
        <v>0</v>
      </c>
      <c r="AM25" s="38">
        <f t="shared" si="29"/>
        <v>0</v>
      </c>
      <c r="AN25" s="38">
        <f t="shared" si="30"/>
        <v>0</v>
      </c>
      <c r="AO25" s="38">
        <f t="shared" si="31"/>
        <v>0</v>
      </c>
      <c r="AP25" s="39">
        <f t="shared" si="5"/>
        <v>250</v>
      </c>
      <c r="AQ25" s="29"/>
      <c r="AR25" s="15">
        <f t="shared" si="55"/>
        <v>0.5</v>
      </c>
      <c r="AS25" s="15">
        <f t="shared" si="56"/>
        <v>0.5</v>
      </c>
      <c r="AT25" s="15" t="str">
        <f t="shared" si="57"/>
        <v/>
      </c>
      <c r="AU25" s="15" t="str">
        <f t="shared" si="58"/>
        <v/>
      </c>
      <c r="AV25" s="15" t="str">
        <f t="shared" si="59"/>
        <v/>
      </c>
      <c r="AW25" s="15" t="str">
        <f t="shared" si="60"/>
        <v/>
      </c>
      <c r="AX25" s="15" t="str">
        <f t="shared" si="61"/>
        <v/>
      </c>
      <c r="AY25" s="15" t="str">
        <f t="shared" si="62"/>
        <v/>
      </c>
      <c r="AZ25" s="15" t="str">
        <f t="shared" si="63"/>
        <v/>
      </c>
      <c r="BA25" s="15" t="str">
        <f t="shared" si="64"/>
        <v/>
      </c>
      <c r="BB25" s="15" t="str">
        <f t="shared" si="65"/>
        <v/>
      </c>
      <c r="BC25" s="15" t="str">
        <f t="shared" si="66"/>
        <v/>
      </c>
      <c r="BE25" s="14">
        <f t="shared" si="9"/>
        <v>400</v>
      </c>
      <c r="BF25" s="14">
        <f t="shared" si="10"/>
        <v>100</v>
      </c>
      <c r="BG25" s="14">
        <f t="shared" si="11"/>
        <v>0</v>
      </c>
      <c r="BH25" s="14">
        <f t="shared" si="12"/>
        <v>0</v>
      </c>
      <c r="BI25" s="14">
        <f t="shared" si="13"/>
        <v>0</v>
      </c>
      <c r="BJ25" s="14">
        <f t="shared" si="14"/>
        <v>0</v>
      </c>
      <c r="BK25" s="14">
        <f t="shared" si="15"/>
        <v>0</v>
      </c>
      <c r="BL25" s="14">
        <f t="shared" si="16"/>
        <v>0</v>
      </c>
      <c r="BM25" s="14">
        <f t="shared" si="17"/>
        <v>0</v>
      </c>
      <c r="BN25" s="14">
        <f t="shared" si="18"/>
        <v>0</v>
      </c>
      <c r="BO25" s="14">
        <f t="shared" si="19"/>
        <v>0</v>
      </c>
      <c r="BP25" s="14">
        <f t="shared" si="20"/>
        <v>0</v>
      </c>
      <c r="BQ25" s="37">
        <f t="shared" si="67"/>
        <v>500</v>
      </c>
    </row>
    <row r="26" spans="1:69" s="16" customFormat="1" ht="18" customHeight="1">
      <c r="A26" s="17"/>
      <c r="B26" s="12">
        <v>3</v>
      </c>
      <c r="C26" s="12"/>
      <c r="D26" s="10" t="s">
        <v>16</v>
      </c>
      <c r="E26" s="10" t="s">
        <v>108</v>
      </c>
      <c r="F26" s="11" t="s">
        <v>109</v>
      </c>
      <c r="G26" s="11" t="s">
        <v>110</v>
      </c>
      <c r="H26" s="11" t="s">
        <v>75</v>
      </c>
      <c r="I26" s="13">
        <v>0.8</v>
      </c>
      <c r="J26" s="13">
        <v>0.5</v>
      </c>
      <c r="K26" s="12"/>
      <c r="L26" s="12"/>
      <c r="M26" s="12" t="s">
        <v>76</v>
      </c>
      <c r="N26" s="12" t="s">
        <v>76</v>
      </c>
      <c r="O26" s="12"/>
      <c r="P26" s="14">
        <v>0</v>
      </c>
      <c r="Q26" s="14">
        <v>0</v>
      </c>
      <c r="R26" s="14">
        <v>0</v>
      </c>
      <c r="S26" s="14">
        <v>0</v>
      </c>
      <c r="T26" s="14">
        <v>0</v>
      </c>
      <c r="U26" s="14">
        <v>0</v>
      </c>
      <c r="V26" s="14"/>
      <c r="W26" s="14">
        <v>1600</v>
      </c>
      <c r="X26" s="14">
        <v>1600</v>
      </c>
      <c r="Y26" s="14">
        <v>1600</v>
      </c>
      <c r="Z26" s="14">
        <v>1600</v>
      </c>
      <c r="AA26" s="14">
        <v>1600</v>
      </c>
      <c r="AB26" s="37">
        <f>SUM(P26:AA26)</f>
        <v>8000</v>
      </c>
      <c r="AC26" s="29"/>
      <c r="AD26" s="38">
        <f>P26*$J26</f>
        <v>0</v>
      </c>
      <c r="AE26" s="38">
        <f>Q26*$J26</f>
        <v>0</v>
      </c>
      <c r="AF26" s="38">
        <f>R26*$J26</f>
        <v>0</v>
      </c>
      <c r="AG26" s="38">
        <f>S26*$J26</f>
        <v>0</v>
      </c>
      <c r="AH26" s="38">
        <f>T26*$J26</f>
        <v>0</v>
      </c>
      <c r="AI26" s="38">
        <f>U26*$J26</f>
        <v>0</v>
      </c>
      <c r="AJ26" s="38">
        <f>V26*$J26</f>
        <v>0</v>
      </c>
      <c r="AK26" s="38">
        <f>W26*$J26</f>
        <v>800</v>
      </c>
      <c r="AL26" s="38">
        <f>X26*$J26</f>
        <v>800</v>
      </c>
      <c r="AM26" s="38">
        <f>Y26*$J26</f>
        <v>800</v>
      </c>
      <c r="AN26" s="38">
        <f>Z26*$J26</f>
        <v>800</v>
      </c>
      <c r="AO26" s="38">
        <f>AA26*$J26</f>
        <v>800</v>
      </c>
      <c r="AP26" s="39">
        <f>SUM(AD26:AO26)</f>
        <v>4000</v>
      </c>
      <c r="AQ26" s="29"/>
      <c r="AR26" s="15" t="str">
        <f>IFERROR((P26-AD26)/P26,"")</f>
        <v/>
      </c>
      <c r="AS26" s="15" t="str">
        <f>IFERROR((Q26-AE26)/Q26,"")</f>
        <v/>
      </c>
      <c r="AT26" s="15" t="str">
        <f>IFERROR((R26-AF26)/R26,"")</f>
        <v/>
      </c>
      <c r="AU26" s="15" t="str">
        <f>IFERROR((S26-AG26)/S26,"")</f>
        <v/>
      </c>
      <c r="AV26" s="15" t="str">
        <f>IFERROR((T26-AH26)/T26,"")</f>
        <v/>
      </c>
      <c r="AW26" s="15" t="str">
        <f>IFERROR((U26-AI26)/U26,"")</f>
        <v/>
      </c>
      <c r="AX26" s="15" t="str">
        <f>IFERROR((V26-AJ26)/V26,"")</f>
        <v/>
      </c>
      <c r="AY26" s="15">
        <f>IFERROR((W26-AK26)/W26,"")</f>
        <v>0.5</v>
      </c>
      <c r="AZ26" s="15">
        <f>IFERROR((X26-AL26)/X26,"")</f>
        <v>0.5</v>
      </c>
      <c r="BA26" s="15">
        <f>IFERROR((Y26-AM26)/Y26,"")</f>
        <v>0.5</v>
      </c>
      <c r="BB26" s="15">
        <f>IFERROR((Z26-AN26)/Z26,"")</f>
        <v>0.5</v>
      </c>
      <c r="BC26" s="15">
        <f>IFERROR((AA26-AO26)/AA26,"")</f>
        <v>0.5</v>
      </c>
      <c r="BE26" s="14">
        <f>$I26*P26</f>
        <v>0</v>
      </c>
      <c r="BF26" s="14">
        <f>$I26*Q26</f>
        <v>0</v>
      </c>
      <c r="BG26" s="14">
        <f>$I26*R26</f>
        <v>0</v>
      </c>
      <c r="BH26" s="14">
        <f>$I26*S26</f>
        <v>0</v>
      </c>
      <c r="BI26" s="14">
        <f>$I26*T26</f>
        <v>0</v>
      </c>
      <c r="BJ26" s="14">
        <f>$I26*U26</f>
        <v>0</v>
      </c>
      <c r="BK26" s="14">
        <f>$I26*V26</f>
        <v>0</v>
      </c>
      <c r="BL26" s="14">
        <f>$I26*W26</f>
        <v>1280</v>
      </c>
      <c r="BM26" s="14">
        <f>$I26*X26</f>
        <v>1280</v>
      </c>
      <c r="BN26" s="14">
        <f>$I26*Y26</f>
        <v>1280</v>
      </c>
      <c r="BO26" s="14">
        <f>$I26*Z26</f>
        <v>1280</v>
      </c>
      <c r="BP26" s="14">
        <f>$I26*AA26</f>
        <v>1280</v>
      </c>
      <c r="BQ26" s="37">
        <f>SUM(BE26:BP26)</f>
        <v>6400</v>
      </c>
    </row>
    <row r="27" spans="1:69" s="16" customFormat="1" ht="18" hidden="1" customHeight="1">
      <c r="A27" s="17"/>
      <c r="B27" s="12">
        <v>35</v>
      </c>
      <c r="C27" s="12"/>
      <c r="D27" s="10" t="s">
        <v>16</v>
      </c>
      <c r="E27" s="10" t="s">
        <v>108</v>
      </c>
      <c r="F27" s="11" t="s">
        <v>109</v>
      </c>
      <c r="G27" s="11" t="s">
        <v>111</v>
      </c>
      <c r="H27" s="11" t="s">
        <v>70</v>
      </c>
      <c r="I27" s="13">
        <v>1</v>
      </c>
      <c r="J27" s="13">
        <v>0.5</v>
      </c>
      <c r="K27" s="12"/>
      <c r="L27" s="12"/>
      <c r="M27" s="12" t="s">
        <v>76</v>
      </c>
      <c r="N27" s="12" t="s">
        <v>76</v>
      </c>
      <c r="O27" s="12"/>
      <c r="P27" s="14">
        <v>640</v>
      </c>
      <c r="Q27" s="14">
        <v>640</v>
      </c>
      <c r="R27" s="14">
        <v>640</v>
      </c>
      <c r="S27" s="14">
        <v>0</v>
      </c>
      <c r="T27" s="14">
        <v>0</v>
      </c>
      <c r="U27" s="14">
        <v>0</v>
      </c>
      <c r="V27" s="14">
        <v>0</v>
      </c>
      <c r="W27" s="14">
        <v>0</v>
      </c>
      <c r="X27" s="14">
        <v>0</v>
      </c>
      <c r="Y27" s="14">
        <v>0</v>
      </c>
      <c r="Z27" s="14">
        <v>0</v>
      </c>
      <c r="AA27" s="14">
        <v>0</v>
      </c>
      <c r="AB27" s="37">
        <f t="shared" si="54"/>
        <v>1920</v>
      </c>
      <c r="AC27" s="29"/>
      <c r="AD27" s="38">
        <f t="shared" si="21"/>
        <v>320</v>
      </c>
      <c r="AE27" s="38">
        <f t="shared" si="22"/>
        <v>320</v>
      </c>
      <c r="AF27" s="38">
        <f t="shared" si="68"/>
        <v>320</v>
      </c>
      <c r="AG27" s="38">
        <f t="shared" si="69"/>
        <v>0</v>
      </c>
      <c r="AH27" s="38">
        <f t="shared" si="24"/>
        <v>0</v>
      </c>
      <c r="AI27" s="38">
        <f t="shared" si="25"/>
        <v>0</v>
      </c>
      <c r="AJ27" s="38">
        <f t="shared" si="26"/>
        <v>0</v>
      </c>
      <c r="AK27" s="38">
        <f t="shared" si="27"/>
        <v>0</v>
      </c>
      <c r="AL27" s="38">
        <f t="shared" si="28"/>
        <v>0</v>
      </c>
      <c r="AM27" s="38">
        <f t="shared" si="29"/>
        <v>0</v>
      </c>
      <c r="AN27" s="38">
        <f t="shared" si="30"/>
        <v>0</v>
      </c>
      <c r="AO27" s="38">
        <f t="shared" si="31"/>
        <v>0</v>
      </c>
      <c r="AP27" s="39">
        <f t="shared" ref="AP27:AP36" si="70">SUM(AD27:AO27)</f>
        <v>960</v>
      </c>
      <c r="AQ27" s="29"/>
      <c r="AR27" s="15">
        <f t="shared" si="55"/>
        <v>0.5</v>
      </c>
      <c r="AS27" s="15">
        <f t="shared" si="56"/>
        <v>0.5</v>
      </c>
      <c r="AT27" s="15">
        <f t="shared" si="57"/>
        <v>0.5</v>
      </c>
      <c r="AU27" s="15" t="str">
        <f t="shared" si="58"/>
        <v/>
      </c>
      <c r="AV27" s="15" t="str">
        <f t="shared" si="59"/>
        <v/>
      </c>
      <c r="AW27" s="15" t="str">
        <f t="shared" si="60"/>
        <v/>
      </c>
      <c r="AX27" s="15" t="str">
        <f t="shared" si="61"/>
        <v/>
      </c>
      <c r="AY27" s="15" t="str">
        <f t="shared" si="62"/>
        <v/>
      </c>
      <c r="AZ27" s="15" t="str">
        <f t="shared" si="63"/>
        <v/>
      </c>
      <c r="BA27" s="15" t="str">
        <f t="shared" si="64"/>
        <v/>
      </c>
      <c r="BB27" s="15" t="str">
        <f t="shared" si="65"/>
        <v/>
      </c>
      <c r="BC27" s="15" t="str">
        <f t="shared" si="66"/>
        <v/>
      </c>
      <c r="BE27" s="14">
        <f t="shared" si="9"/>
        <v>640</v>
      </c>
      <c r="BF27" s="14">
        <f t="shared" si="10"/>
        <v>640</v>
      </c>
      <c r="BG27" s="14">
        <f t="shared" si="11"/>
        <v>640</v>
      </c>
      <c r="BH27" s="14">
        <f t="shared" si="12"/>
        <v>0</v>
      </c>
      <c r="BI27" s="14">
        <f t="shared" si="13"/>
        <v>0</v>
      </c>
      <c r="BJ27" s="14">
        <f t="shared" si="14"/>
        <v>0</v>
      </c>
      <c r="BK27" s="14">
        <f t="shared" si="15"/>
        <v>0</v>
      </c>
      <c r="BL27" s="14">
        <f t="shared" si="16"/>
        <v>0</v>
      </c>
      <c r="BM27" s="14">
        <f t="shared" si="17"/>
        <v>0</v>
      </c>
      <c r="BN27" s="14">
        <f t="shared" si="18"/>
        <v>0</v>
      </c>
      <c r="BO27" s="14">
        <f t="shared" si="19"/>
        <v>0</v>
      </c>
      <c r="BP27" s="14">
        <f t="shared" si="20"/>
        <v>0</v>
      </c>
      <c r="BQ27" s="37">
        <f t="shared" si="67"/>
        <v>1920</v>
      </c>
    </row>
    <row r="28" spans="1:69" s="16" customFormat="1" ht="18" customHeight="1">
      <c r="A28" s="17"/>
      <c r="B28" s="12">
        <v>29</v>
      </c>
      <c r="C28" s="12" t="s">
        <v>100</v>
      </c>
      <c r="D28" s="11" t="s">
        <v>112</v>
      </c>
      <c r="E28" s="10" t="s">
        <v>108</v>
      </c>
      <c r="F28" s="11" t="s">
        <v>113</v>
      </c>
      <c r="G28" s="11"/>
      <c r="H28" s="11" t="s">
        <v>75</v>
      </c>
      <c r="I28" s="24"/>
      <c r="J28" s="24"/>
      <c r="K28" s="12"/>
      <c r="L28" s="12"/>
      <c r="M28" s="12" t="s">
        <v>76</v>
      </c>
      <c r="N28" s="12"/>
      <c r="O28" s="12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37">
        <f t="shared" si="54"/>
        <v>0</v>
      </c>
      <c r="AC28" s="29"/>
      <c r="AD28" s="38">
        <f t="shared" si="21"/>
        <v>0</v>
      </c>
      <c r="AE28" s="38">
        <f t="shared" si="22"/>
        <v>0</v>
      </c>
      <c r="AF28" s="38">
        <f t="shared" si="68"/>
        <v>0</v>
      </c>
      <c r="AG28" s="38">
        <f t="shared" si="69"/>
        <v>0</v>
      </c>
      <c r="AH28" s="38">
        <f t="shared" si="24"/>
        <v>0</v>
      </c>
      <c r="AI28" s="38">
        <f t="shared" si="25"/>
        <v>0</v>
      </c>
      <c r="AJ28" s="38">
        <f t="shared" si="26"/>
        <v>0</v>
      </c>
      <c r="AK28" s="38">
        <f t="shared" si="27"/>
        <v>0</v>
      </c>
      <c r="AL28" s="38">
        <f t="shared" si="28"/>
        <v>0</v>
      </c>
      <c r="AM28" s="38">
        <f t="shared" si="29"/>
        <v>0</v>
      </c>
      <c r="AN28" s="38">
        <f t="shared" si="30"/>
        <v>0</v>
      </c>
      <c r="AO28" s="38">
        <f t="shared" si="31"/>
        <v>0</v>
      </c>
      <c r="AP28" s="39">
        <f t="shared" si="70"/>
        <v>0</v>
      </c>
      <c r="AQ28" s="29"/>
      <c r="AR28" s="15" t="str">
        <f t="shared" si="55"/>
        <v/>
      </c>
      <c r="AS28" s="15" t="str">
        <f t="shared" si="56"/>
        <v/>
      </c>
      <c r="AT28" s="15" t="str">
        <f t="shared" si="57"/>
        <v/>
      </c>
      <c r="AU28" s="15" t="str">
        <f t="shared" si="58"/>
        <v/>
      </c>
      <c r="AV28" s="15" t="str">
        <f t="shared" si="59"/>
        <v/>
      </c>
      <c r="AW28" s="15" t="str">
        <f t="shared" si="60"/>
        <v/>
      </c>
      <c r="AX28" s="15" t="str">
        <f t="shared" si="61"/>
        <v/>
      </c>
      <c r="AY28" s="15" t="str">
        <f t="shared" si="62"/>
        <v/>
      </c>
      <c r="AZ28" s="15" t="str">
        <f t="shared" si="63"/>
        <v/>
      </c>
      <c r="BA28" s="15" t="str">
        <f t="shared" si="64"/>
        <v/>
      </c>
      <c r="BB28" s="15" t="str">
        <f t="shared" si="65"/>
        <v/>
      </c>
      <c r="BC28" s="15" t="str">
        <f t="shared" si="66"/>
        <v/>
      </c>
      <c r="BE28" s="14">
        <f t="shared" si="9"/>
        <v>0</v>
      </c>
      <c r="BF28" s="14">
        <f t="shared" si="10"/>
        <v>0</v>
      </c>
      <c r="BG28" s="14">
        <f t="shared" si="11"/>
        <v>0</v>
      </c>
      <c r="BH28" s="14">
        <f t="shared" si="12"/>
        <v>0</v>
      </c>
      <c r="BI28" s="14">
        <f t="shared" si="13"/>
        <v>0</v>
      </c>
      <c r="BJ28" s="14">
        <f t="shared" si="14"/>
        <v>0</v>
      </c>
      <c r="BK28" s="14">
        <f t="shared" si="15"/>
        <v>0</v>
      </c>
      <c r="BL28" s="14">
        <f t="shared" si="16"/>
        <v>0</v>
      </c>
      <c r="BM28" s="14">
        <f t="shared" si="17"/>
        <v>0</v>
      </c>
      <c r="BN28" s="14">
        <f t="shared" si="18"/>
        <v>0</v>
      </c>
      <c r="BO28" s="14">
        <f t="shared" si="19"/>
        <v>0</v>
      </c>
      <c r="BP28" s="14">
        <f t="shared" si="20"/>
        <v>0</v>
      </c>
      <c r="BQ28" s="37">
        <f t="shared" si="67"/>
        <v>0</v>
      </c>
    </row>
    <row r="29" spans="1:69" s="16" customFormat="1" ht="18" hidden="1" customHeight="1">
      <c r="A29" s="17"/>
      <c r="B29" s="12">
        <v>25</v>
      </c>
      <c r="C29" s="12"/>
      <c r="D29" s="11" t="s">
        <v>114</v>
      </c>
      <c r="E29" s="10" t="s">
        <v>67</v>
      </c>
      <c r="F29" s="11" t="s">
        <v>107</v>
      </c>
      <c r="G29" s="11" t="s">
        <v>115</v>
      </c>
      <c r="H29" s="11" t="s">
        <v>70</v>
      </c>
      <c r="I29" s="25">
        <v>1</v>
      </c>
      <c r="J29" s="13">
        <v>0.5</v>
      </c>
      <c r="K29" s="12"/>
      <c r="L29" s="12"/>
      <c r="M29" s="12" t="s">
        <v>76</v>
      </c>
      <c r="N29" s="12" t="s">
        <v>116</v>
      </c>
      <c r="O29" s="12"/>
      <c r="P29" s="14">
        <v>600</v>
      </c>
      <c r="Q29" s="14">
        <v>600</v>
      </c>
      <c r="R29" s="14">
        <v>600</v>
      </c>
      <c r="S29" s="14">
        <v>600</v>
      </c>
      <c r="T29" s="14">
        <v>600</v>
      </c>
      <c r="U29" s="14">
        <v>600</v>
      </c>
      <c r="V29" s="14">
        <v>600</v>
      </c>
      <c r="W29" s="14">
        <v>600</v>
      </c>
      <c r="X29" s="14">
        <v>600</v>
      </c>
      <c r="Y29" s="14">
        <v>600</v>
      </c>
      <c r="Z29" s="14">
        <v>600</v>
      </c>
      <c r="AA29" s="14">
        <v>600</v>
      </c>
      <c r="AB29" s="37">
        <f t="shared" si="54"/>
        <v>7200</v>
      </c>
      <c r="AC29" s="29"/>
      <c r="AD29" s="38">
        <f t="shared" si="21"/>
        <v>300</v>
      </c>
      <c r="AE29" s="38">
        <f t="shared" si="22"/>
        <v>300</v>
      </c>
      <c r="AF29" s="38">
        <f t="shared" si="68"/>
        <v>300</v>
      </c>
      <c r="AG29" s="38">
        <f t="shared" si="69"/>
        <v>300</v>
      </c>
      <c r="AH29" s="38">
        <f t="shared" si="24"/>
        <v>300</v>
      </c>
      <c r="AI29" s="38">
        <f t="shared" si="25"/>
        <v>300</v>
      </c>
      <c r="AJ29" s="38">
        <f t="shared" si="26"/>
        <v>300</v>
      </c>
      <c r="AK29" s="38">
        <f t="shared" si="27"/>
        <v>300</v>
      </c>
      <c r="AL29" s="38">
        <f t="shared" si="28"/>
        <v>300</v>
      </c>
      <c r="AM29" s="38">
        <f t="shared" si="29"/>
        <v>300</v>
      </c>
      <c r="AN29" s="38">
        <f t="shared" si="30"/>
        <v>300</v>
      </c>
      <c r="AO29" s="38">
        <f t="shared" si="31"/>
        <v>300</v>
      </c>
      <c r="AP29" s="39">
        <f t="shared" si="70"/>
        <v>3600</v>
      </c>
      <c r="AQ29" s="29"/>
      <c r="AR29" s="15">
        <f t="shared" si="55"/>
        <v>0.5</v>
      </c>
      <c r="AS29" s="15">
        <f t="shared" si="56"/>
        <v>0.5</v>
      </c>
      <c r="AT29" s="15">
        <f t="shared" si="57"/>
        <v>0.5</v>
      </c>
      <c r="AU29" s="15">
        <f t="shared" si="58"/>
        <v>0.5</v>
      </c>
      <c r="AV29" s="15">
        <f t="shared" si="59"/>
        <v>0.5</v>
      </c>
      <c r="AW29" s="15">
        <f t="shared" si="60"/>
        <v>0.5</v>
      </c>
      <c r="AX29" s="15">
        <f t="shared" si="61"/>
        <v>0.5</v>
      </c>
      <c r="AY29" s="15">
        <f t="shared" si="62"/>
        <v>0.5</v>
      </c>
      <c r="AZ29" s="15">
        <f t="shared" si="63"/>
        <v>0.5</v>
      </c>
      <c r="BA29" s="15">
        <f t="shared" si="64"/>
        <v>0.5</v>
      </c>
      <c r="BB29" s="15">
        <f t="shared" si="65"/>
        <v>0.5</v>
      </c>
      <c r="BC29" s="15">
        <f t="shared" si="66"/>
        <v>0.5</v>
      </c>
      <c r="BE29" s="14">
        <f t="shared" si="9"/>
        <v>600</v>
      </c>
      <c r="BF29" s="14">
        <f t="shared" si="10"/>
        <v>600</v>
      </c>
      <c r="BG29" s="14">
        <f t="shared" si="11"/>
        <v>600</v>
      </c>
      <c r="BH29" s="14">
        <f t="shared" si="12"/>
        <v>600</v>
      </c>
      <c r="BI29" s="14">
        <f t="shared" si="13"/>
        <v>600</v>
      </c>
      <c r="BJ29" s="14">
        <f t="shared" si="14"/>
        <v>600</v>
      </c>
      <c r="BK29" s="14">
        <f t="shared" si="15"/>
        <v>600</v>
      </c>
      <c r="BL29" s="14">
        <f t="shared" si="16"/>
        <v>600</v>
      </c>
      <c r="BM29" s="14">
        <f t="shared" si="17"/>
        <v>600</v>
      </c>
      <c r="BN29" s="14">
        <f t="shared" si="18"/>
        <v>600</v>
      </c>
      <c r="BO29" s="14">
        <f t="shared" si="19"/>
        <v>600</v>
      </c>
      <c r="BP29" s="14">
        <f t="shared" si="20"/>
        <v>600</v>
      </c>
      <c r="BQ29" s="37">
        <f t="shared" si="67"/>
        <v>7200</v>
      </c>
    </row>
    <row r="30" spans="1:69" s="16" customFormat="1" ht="18" customHeight="1">
      <c r="A30" s="17"/>
      <c r="B30" s="12">
        <v>49</v>
      </c>
      <c r="C30" s="12" t="s">
        <v>100</v>
      </c>
      <c r="D30" s="11" t="s">
        <v>114</v>
      </c>
      <c r="E30" s="11" t="s">
        <v>67</v>
      </c>
      <c r="F30" s="11" t="s">
        <v>117</v>
      </c>
      <c r="G30" s="11"/>
      <c r="H30" s="11" t="s">
        <v>98</v>
      </c>
      <c r="I30" s="13">
        <v>0.8</v>
      </c>
      <c r="J30" s="13">
        <v>0.5</v>
      </c>
      <c r="K30" s="12"/>
      <c r="L30" s="12"/>
      <c r="M30" s="12" t="s">
        <v>72</v>
      </c>
      <c r="N30" s="12" t="s">
        <v>118</v>
      </c>
      <c r="O30" s="12"/>
      <c r="P30" s="14"/>
      <c r="Q30" s="14"/>
      <c r="R30" s="14"/>
      <c r="S30" s="14"/>
      <c r="T30" s="14"/>
      <c r="U30" s="14">
        <v>480</v>
      </c>
      <c r="V30" s="14"/>
      <c r="W30" s="14"/>
      <c r="X30" s="14"/>
      <c r="Y30" s="14"/>
      <c r="Z30" s="14"/>
      <c r="AA30" s="14"/>
      <c r="AB30" s="37">
        <f t="shared" si="54"/>
        <v>480</v>
      </c>
      <c r="AC30" s="29"/>
      <c r="AD30" s="38">
        <f t="shared" si="21"/>
        <v>0</v>
      </c>
      <c r="AE30" s="38">
        <f t="shared" si="22"/>
        <v>0</v>
      </c>
      <c r="AF30" s="38">
        <f t="shared" si="68"/>
        <v>0</v>
      </c>
      <c r="AG30" s="38">
        <f t="shared" si="69"/>
        <v>0</v>
      </c>
      <c r="AH30" s="38">
        <f t="shared" si="24"/>
        <v>0</v>
      </c>
      <c r="AI30" s="38">
        <f t="shared" si="25"/>
        <v>240</v>
      </c>
      <c r="AJ30" s="38">
        <f t="shared" si="26"/>
        <v>0</v>
      </c>
      <c r="AK30" s="38">
        <f t="shared" si="27"/>
        <v>0</v>
      </c>
      <c r="AL30" s="38">
        <f t="shared" si="28"/>
        <v>0</v>
      </c>
      <c r="AM30" s="38">
        <f t="shared" si="29"/>
        <v>0</v>
      </c>
      <c r="AN30" s="38">
        <f t="shared" si="30"/>
        <v>0</v>
      </c>
      <c r="AO30" s="38">
        <f t="shared" si="31"/>
        <v>0</v>
      </c>
      <c r="AP30" s="39">
        <f t="shared" si="70"/>
        <v>240</v>
      </c>
      <c r="AQ30" s="29"/>
      <c r="AR30" s="15" t="str">
        <f t="shared" si="55"/>
        <v/>
      </c>
      <c r="AS30" s="15" t="str">
        <f t="shared" si="56"/>
        <v/>
      </c>
      <c r="AT30" s="15" t="str">
        <f t="shared" si="57"/>
        <v/>
      </c>
      <c r="AU30" s="15" t="str">
        <f t="shared" si="58"/>
        <v/>
      </c>
      <c r="AV30" s="15" t="str">
        <f t="shared" si="59"/>
        <v/>
      </c>
      <c r="AW30" s="15">
        <f t="shared" si="60"/>
        <v>0.5</v>
      </c>
      <c r="AX30" s="15" t="str">
        <f t="shared" si="61"/>
        <v/>
      </c>
      <c r="AY30" s="15" t="str">
        <f t="shared" si="62"/>
        <v/>
      </c>
      <c r="AZ30" s="15" t="str">
        <f t="shared" si="63"/>
        <v/>
      </c>
      <c r="BA30" s="15" t="str">
        <f t="shared" si="64"/>
        <v/>
      </c>
      <c r="BB30" s="15" t="str">
        <f t="shared" si="65"/>
        <v/>
      </c>
      <c r="BC30" s="15" t="str">
        <f t="shared" si="66"/>
        <v/>
      </c>
      <c r="BE30" s="14">
        <f t="shared" si="9"/>
        <v>0</v>
      </c>
      <c r="BF30" s="14">
        <f t="shared" si="10"/>
        <v>0</v>
      </c>
      <c r="BG30" s="14">
        <f t="shared" si="11"/>
        <v>0</v>
      </c>
      <c r="BH30" s="14">
        <f t="shared" si="12"/>
        <v>0</v>
      </c>
      <c r="BI30" s="14">
        <f t="shared" si="13"/>
        <v>0</v>
      </c>
      <c r="BJ30" s="14">
        <f t="shared" si="14"/>
        <v>384</v>
      </c>
      <c r="BK30" s="14">
        <f t="shared" si="15"/>
        <v>0</v>
      </c>
      <c r="BL30" s="14">
        <f t="shared" si="16"/>
        <v>0</v>
      </c>
      <c r="BM30" s="14">
        <f t="shared" si="17"/>
        <v>0</v>
      </c>
      <c r="BN30" s="14">
        <f t="shared" si="18"/>
        <v>0</v>
      </c>
      <c r="BO30" s="14">
        <f t="shared" si="19"/>
        <v>0</v>
      </c>
      <c r="BP30" s="14">
        <f t="shared" si="20"/>
        <v>0</v>
      </c>
      <c r="BQ30" s="37">
        <f t="shared" si="67"/>
        <v>384</v>
      </c>
    </row>
    <row r="31" spans="1:69" s="23" customFormat="1" ht="18" customHeight="1">
      <c r="A31" s="2"/>
      <c r="B31" s="12">
        <v>50</v>
      </c>
      <c r="C31" s="12" t="s">
        <v>100</v>
      </c>
      <c r="D31" s="11" t="s">
        <v>114</v>
      </c>
      <c r="E31" s="11" t="s">
        <v>67</v>
      </c>
      <c r="F31" s="11" t="s">
        <v>113</v>
      </c>
      <c r="G31" s="11"/>
      <c r="H31" s="11" t="s">
        <v>75</v>
      </c>
      <c r="I31" s="25">
        <v>0.7</v>
      </c>
      <c r="J31" s="25">
        <v>0.6</v>
      </c>
      <c r="K31" s="12"/>
      <c r="L31" s="12"/>
      <c r="M31" s="12" t="s">
        <v>72</v>
      </c>
      <c r="N31" s="12" t="s">
        <v>118</v>
      </c>
      <c r="O31" s="12"/>
      <c r="P31" s="14"/>
      <c r="Q31" s="14"/>
      <c r="R31" s="14"/>
      <c r="S31" s="14"/>
      <c r="T31" s="14"/>
      <c r="U31" s="14"/>
      <c r="V31" s="14"/>
      <c r="W31" s="14">
        <v>250</v>
      </c>
      <c r="X31" s="14">
        <v>250</v>
      </c>
      <c r="Y31" s="14">
        <v>400</v>
      </c>
      <c r="Z31" s="14">
        <v>400</v>
      </c>
      <c r="AA31" s="14">
        <v>400</v>
      </c>
      <c r="AB31" s="37">
        <f t="shared" si="54"/>
        <v>1700</v>
      </c>
      <c r="AC31" s="29"/>
      <c r="AD31" s="38">
        <f t="shared" si="21"/>
        <v>0</v>
      </c>
      <c r="AE31" s="38">
        <f t="shared" si="22"/>
        <v>0</v>
      </c>
      <c r="AF31" s="38">
        <f t="shared" si="68"/>
        <v>0</v>
      </c>
      <c r="AG31" s="38">
        <f t="shared" si="69"/>
        <v>0</v>
      </c>
      <c r="AH31" s="38">
        <f t="shared" si="24"/>
        <v>0</v>
      </c>
      <c r="AI31" s="38">
        <f t="shared" si="25"/>
        <v>0</v>
      </c>
      <c r="AJ31" s="38">
        <f t="shared" si="26"/>
        <v>0</v>
      </c>
      <c r="AK31" s="38">
        <f t="shared" si="27"/>
        <v>150</v>
      </c>
      <c r="AL31" s="38">
        <f t="shared" si="28"/>
        <v>150</v>
      </c>
      <c r="AM31" s="38">
        <f t="shared" si="29"/>
        <v>240</v>
      </c>
      <c r="AN31" s="38">
        <f t="shared" si="30"/>
        <v>240</v>
      </c>
      <c r="AO31" s="38">
        <f t="shared" si="31"/>
        <v>240</v>
      </c>
      <c r="AP31" s="39">
        <f t="shared" si="70"/>
        <v>1020</v>
      </c>
      <c r="AQ31" s="29"/>
      <c r="AR31" s="15" t="str">
        <f t="shared" si="55"/>
        <v/>
      </c>
      <c r="AS31" s="15" t="str">
        <f t="shared" si="56"/>
        <v/>
      </c>
      <c r="AT31" s="15" t="str">
        <f t="shared" si="57"/>
        <v/>
      </c>
      <c r="AU31" s="15" t="str">
        <f t="shared" si="58"/>
        <v/>
      </c>
      <c r="AV31" s="15" t="str">
        <f t="shared" si="59"/>
        <v/>
      </c>
      <c r="AW31" s="15" t="str">
        <f t="shared" si="60"/>
        <v/>
      </c>
      <c r="AX31" s="15" t="str">
        <f t="shared" si="61"/>
        <v/>
      </c>
      <c r="AY31" s="15">
        <f t="shared" si="62"/>
        <v>0.4</v>
      </c>
      <c r="AZ31" s="15">
        <f t="shared" si="63"/>
        <v>0.4</v>
      </c>
      <c r="BA31" s="15">
        <f t="shared" si="64"/>
        <v>0.4</v>
      </c>
      <c r="BB31" s="15">
        <f t="shared" si="65"/>
        <v>0.4</v>
      </c>
      <c r="BC31" s="15">
        <f t="shared" si="66"/>
        <v>0.4</v>
      </c>
      <c r="BE31" s="14">
        <f t="shared" si="9"/>
        <v>0</v>
      </c>
      <c r="BF31" s="14">
        <f t="shared" si="10"/>
        <v>0</v>
      </c>
      <c r="BG31" s="14">
        <f t="shared" si="11"/>
        <v>0</v>
      </c>
      <c r="BH31" s="14">
        <f t="shared" si="12"/>
        <v>0</v>
      </c>
      <c r="BI31" s="14">
        <f t="shared" si="13"/>
        <v>0</v>
      </c>
      <c r="BJ31" s="14">
        <f t="shared" si="14"/>
        <v>0</v>
      </c>
      <c r="BK31" s="14">
        <f t="shared" si="15"/>
        <v>0</v>
      </c>
      <c r="BL31" s="14">
        <f t="shared" si="16"/>
        <v>175</v>
      </c>
      <c r="BM31" s="14">
        <f t="shared" si="17"/>
        <v>175</v>
      </c>
      <c r="BN31" s="14">
        <f t="shared" si="18"/>
        <v>280</v>
      </c>
      <c r="BO31" s="14">
        <f t="shared" si="19"/>
        <v>280</v>
      </c>
      <c r="BP31" s="14">
        <f t="shared" si="20"/>
        <v>280</v>
      </c>
      <c r="BQ31" s="37">
        <f t="shared" si="67"/>
        <v>1190</v>
      </c>
    </row>
    <row r="32" spans="1:69" s="23" customFormat="1" ht="18" customHeight="1">
      <c r="A32" s="2"/>
      <c r="B32" s="12">
        <v>1</v>
      </c>
      <c r="C32" s="12"/>
      <c r="D32" s="10" t="s">
        <v>119</v>
      </c>
      <c r="E32" s="10" t="s">
        <v>120</v>
      </c>
      <c r="F32" s="11" t="s">
        <v>107</v>
      </c>
      <c r="G32" s="11"/>
      <c r="H32" s="11" t="s">
        <v>75</v>
      </c>
      <c r="I32" s="13">
        <v>0.5</v>
      </c>
      <c r="J32" s="13">
        <v>0.5</v>
      </c>
      <c r="K32" s="12"/>
      <c r="L32" s="12"/>
      <c r="M32" s="12" t="s">
        <v>71</v>
      </c>
      <c r="N32" s="12" t="s">
        <v>116</v>
      </c>
      <c r="O32" s="12"/>
      <c r="P32" s="14">
        <v>0</v>
      </c>
      <c r="Q32" s="14">
        <v>0</v>
      </c>
      <c r="R32" s="14">
        <v>0</v>
      </c>
      <c r="S32" s="14">
        <v>0</v>
      </c>
      <c r="T32" s="14">
        <v>0</v>
      </c>
      <c r="U32" s="14"/>
      <c r="V32" s="14">
        <v>300</v>
      </c>
      <c r="W32" s="14">
        <v>300</v>
      </c>
      <c r="X32" s="14">
        <v>300</v>
      </c>
      <c r="Y32" s="14">
        <v>300</v>
      </c>
      <c r="Z32" s="14">
        <v>300</v>
      </c>
      <c r="AA32" s="14">
        <v>300</v>
      </c>
      <c r="AB32" s="37">
        <f t="shared" si="54"/>
        <v>1800</v>
      </c>
      <c r="AC32" s="29"/>
      <c r="AD32" s="38">
        <f t="shared" si="21"/>
        <v>0</v>
      </c>
      <c r="AE32" s="38">
        <f t="shared" si="22"/>
        <v>0</v>
      </c>
      <c r="AF32" s="38">
        <f>R33*$J32</f>
        <v>600</v>
      </c>
      <c r="AG32" s="38">
        <f>S33*$J32</f>
        <v>600</v>
      </c>
      <c r="AH32" s="38">
        <f t="shared" si="24"/>
        <v>0</v>
      </c>
      <c r="AI32" s="38">
        <f t="shared" si="25"/>
        <v>0</v>
      </c>
      <c r="AJ32" s="38">
        <f t="shared" si="26"/>
        <v>150</v>
      </c>
      <c r="AK32" s="38">
        <f t="shared" si="27"/>
        <v>150</v>
      </c>
      <c r="AL32" s="38">
        <f t="shared" si="28"/>
        <v>150</v>
      </c>
      <c r="AM32" s="38">
        <f t="shared" si="29"/>
        <v>150</v>
      </c>
      <c r="AN32" s="38">
        <f t="shared" si="30"/>
        <v>150</v>
      </c>
      <c r="AO32" s="38">
        <f t="shared" si="31"/>
        <v>150</v>
      </c>
      <c r="AP32" s="39">
        <f t="shared" si="70"/>
        <v>2100</v>
      </c>
      <c r="AQ32" s="29"/>
      <c r="AR32" s="15" t="str">
        <f t="shared" si="55"/>
        <v/>
      </c>
      <c r="AS32" s="15" t="str">
        <f t="shared" si="56"/>
        <v/>
      </c>
      <c r="AT32" s="15" t="str">
        <f t="shared" si="57"/>
        <v/>
      </c>
      <c r="AU32" s="15" t="str">
        <f t="shared" si="58"/>
        <v/>
      </c>
      <c r="AV32" s="15" t="str">
        <f t="shared" si="59"/>
        <v/>
      </c>
      <c r="AW32" s="15" t="str">
        <f t="shared" si="60"/>
        <v/>
      </c>
      <c r="AX32" s="15">
        <f t="shared" si="61"/>
        <v>0.5</v>
      </c>
      <c r="AY32" s="15">
        <f t="shared" si="62"/>
        <v>0.5</v>
      </c>
      <c r="AZ32" s="15">
        <f t="shared" si="63"/>
        <v>0.5</v>
      </c>
      <c r="BA32" s="15">
        <f t="shared" si="64"/>
        <v>0.5</v>
      </c>
      <c r="BB32" s="15">
        <f t="shared" si="65"/>
        <v>0.5</v>
      </c>
      <c r="BC32" s="15">
        <f t="shared" si="66"/>
        <v>0.5</v>
      </c>
      <c r="BE32" s="14">
        <f t="shared" si="9"/>
        <v>0</v>
      </c>
      <c r="BF32" s="14">
        <f t="shared" si="10"/>
        <v>0</v>
      </c>
      <c r="BG32" s="14">
        <f t="shared" si="11"/>
        <v>0</v>
      </c>
      <c r="BH32" s="14">
        <f t="shared" si="12"/>
        <v>0</v>
      </c>
      <c r="BI32" s="14">
        <f t="shared" si="13"/>
        <v>0</v>
      </c>
      <c r="BJ32" s="14">
        <f t="shared" si="14"/>
        <v>0</v>
      </c>
      <c r="BK32" s="14">
        <f t="shared" si="15"/>
        <v>150</v>
      </c>
      <c r="BL32" s="14">
        <f t="shared" si="16"/>
        <v>150</v>
      </c>
      <c r="BM32" s="14">
        <f t="shared" si="17"/>
        <v>150</v>
      </c>
      <c r="BN32" s="14">
        <f t="shared" si="18"/>
        <v>150</v>
      </c>
      <c r="BO32" s="14">
        <f t="shared" si="19"/>
        <v>150</v>
      </c>
      <c r="BP32" s="14">
        <f t="shared" si="20"/>
        <v>150</v>
      </c>
      <c r="BQ32" s="37">
        <f t="shared" si="67"/>
        <v>900</v>
      </c>
    </row>
    <row r="33" spans="1:69" s="23" customFormat="1" ht="18" hidden="1" customHeight="1">
      <c r="A33" s="2"/>
      <c r="B33" s="12">
        <v>18</v>
      </c>
      <c r="C33" s="12"/>
      <c r="D33" s="11" t="s">
        <v>121</v>
      </c>
      <c r="E33" s="10" t="s">
        <v>67</v>
      </c>
      <c r="F33" s="11" t="s">
        <v>122</v>
      </c>
      <c r="G33" s="11"/>
      <c r="H33" s="11" t="s">
        <v>70</v>
      </c>
      <c r="I33" s="13">
        <v>1</v>
      </c>
      <c r="J33" s="13">
        <v>0.5</v>
      </c>
      <c r="K33" s="12"/>
      <c r="L33" s="12"/>
      <c r="M33" s="12" t="s">
        <v>72</v>
      </c>
      <c r="N33" s="12" t="s">
        <v>118</v>
      </c>
      <c r="O33" s="12"/>
      <c r="P33" s="14">
        <v>1200</v>
      </c>
      <c r="Q33" s="14">
        <v>1200</v>
      </c>
      <c r="R33" s="14">
        <v>1200</v>
      </c>
      <c r="S33" s="14">
        <v>1200</v>
      </c>
      <c r="T33" s="14">
        <v>1200</v>
      </c>
      <c r="U33" s="14">
        <v>1200</v>
      </c>
      <c r="V33" s="14">
        <v>2000</v>
      </c>
      <c r="W33" s="14">
        <v>2000</v>
      </c>
      <c r="X33" s="14">
        <v>2000</v>
      </c>
      <c r="Y33" s="14">
        <v>2000</v>
      </c>
      <c r="Z33" s="14">
        <v>2000</v>
      </c>
      <c r="AA33" s="14">
        <v>2000</v>
      </c>
      <c r="AB33" s="37">
        <f t="shared" si="54"/>
        <v>19200</v>
      </c>
      <c r="AC33" s="29"/>
      <c r="AD33" s="38">
        <f t="shared" si="21"/>
        <v>600</v>
      </c>
      <c r="AE33" s="38">
        <f t="shared" si="22"/>
        <v>600</v>
      </c>
      <c r="AF33" s="38">
        <f>R34*$J33</f>
        <v>0</v>
      </c>
      <c r="AG33" s="38">
        <f>S34*$J33</f>
        <v>0</v>
      </c>
      <c r="AH33" s="38">
        <f t="shared" si="24"/>
        <v>600</v>
      </c>
      <c r="AI33" s="38">
        <f t="shared" si="25"/>
        <v>600</v>
      </c>
      <c r="AJ33" s="38">
        <f t="shared" si="26"/>
        <v>1000</v>
      </c>
      <c r="AK33" s="38">
        <f t="shared" si="27"/>
        <v>1000</v>
      </c>
      <c r="AL33" s="38">
        <f t="shared" si="28"/>
        <v>1000</v>
      </c>
      <c r="AM33" s="38">
        <f t="shared" si="29"/>
        <v>1000</v>
      </c>
      <c r="AN33" s="38">
        <f t="shared" si="30"/>
        <v>1000</v>
      </c>
      <c r="AO33" s="38">
        <f t="shared" si="31"/>
        <v>1000</v>
      </c>
      <c r="AP33" s="39">
        <f t="shared" si="70"/>
        <v>8400</v>
      </c>
      <c r="AQ33" s="29"/>
      <c r="AR33" s="15">
        <f t="shared" si="55"/>
        <v>0.5</v>
      </c>
      <c r="AS33" s="15">
        <f t="shared" si="56"/>
        <v>0.5</v>
      </c>
      <c r="AT33" s="15">
        <f t="shared" si="57"/>
        <v>1</v>
      </c>
      <c r="AU33" s="15">
        <f t="shared" si="58"/>
        <v>1</v>
      </c>
      <c r="AV33" s="15">
        <f t="shared" si="59"/>
        <v>0.5</v>
      </c>
      <c r="AW33" s="15">
        <f t="shared" si="60"/>
        <v>0.5</v>
      </c>
      <c r="AX33" s="15">
        <f t="shared" si="61"/>
        <v>0.5</v>
      </c>
      <c r="AY33" s="15">
        <f t="shared" si="62"/>
        <v>0.5</v>
      </c>
      <c r="AZ33" s="15">
        <f t="shared" si="63"/>
        <v>0.5</v>
      </c>
      <c r="BA33" s="15">
        <f t="shared" si="64"/>
        <v>0.5</v>
      </c>
      <c r="BB33" s="15">
        <f t="shared" si="65"/>
        <v>0.5</v>
      </c>
      <c r="BC33" s="15">
        <f t="shared" si="66"/>
        <v>0.5</v>
      </c>
      <c r="BE33" s="14">
        <f t="shared" si="9"/>
        <v>1200</v>
      </c>
      <c r="BF33" s="14">
        <f t="shared" si="10"/>
        <v>1200</v>
      </c>
      <c r="BG33" s="14">
        <f t="shared" si="11"/>
        <v>1200</v>
      </c>
      <c r="BH33" s="14">
        <f t="shared" si="12"/>
        <v>1200</v>
      </c>
      <c r="BI33" s="14">
        <f t="shared" si="13"/>
        <v>1200</v>
      </c>
      <c r="BJ33" s="14">
        <f t="shared" si="14"/>
        <v>1200</v>
      </c>
      <c r="BK33" s="14">
        <f t="shared" si="15"/>
        <v>2000</v>
      </c>
      <c r="BL33" s="14">
        <f t="shared" si="16"/>
        <v>2000</v>
      </c>
      <c r="BM33" s="14">
        <f t="shared" si="17"/>
        <v>2000</v>
      </c>
      <c r="BN33" s="14">
        <f t="shared" si="18"/>
        <v>2000</v>
      </c>
      <c r="BO33" s="14">
        <f t="shared" si="19"/>
        <v>2000</v>
      </c>
      <c r="BP33" s="14">
        <f t="shared" si="20"/>
        <v>2000</v>
      </c>
      <c r="BQ33" s="37">
        <f t="shared" si="67"/>
        <v>19200</v>
      </c>
    </row>
    <row r="34" spans="1:69" s="23" customFormat="1" ht="18" customHeight="1">
      <c r="A34" s="2"/>
      <c r="B34" s="12">
        <v>51</v>
      </c>
      <c r="C34" s="12" t="s">
        <v>100</v>
      </c>
      <c r="D34" s="11" t="s">
        <v>121</v>
      </c>
      <c r="E34" s="11" t="s">
        <v>67</v>
      </c>
      <c r="F34" s="11" t="s">
        <v>123</v>
      </c>
      <c r="G34" s="11" t="s">
        <v>124</v>
      </c>
      <c r="H34" s="11" t="s">
        <v>75</v>
      </c>
      <c r="I34" s="24"/>
      <c r="J34" s="24"/>
      <c r="K34" s="12"/>
      <c r="L34" s="12"/>
      <c r="M34" s="12" t="s">
        <v>72</v>
      </c>
      <c r="N34" s="12" t="s">
        <v>118</v>
      </c>
      <c r="O34" s="12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37">
        <f t="shared" si="54"/>
        <v>0</v>
      </c>
      <c r="AC34" s="29"/>
      <c r="AD34" s="38">
        <f t="shared" si="21"/>
        <v>0</v>
      </c>
      <c r="AE34" s="38">
        <f t="shared" si="22"/>
        <v>0</v>
      </c>
      <c r="AF34" s="38">
        <f t="shared" ref="AF34:AF76" si="71">R34*$J34</f>
        <v>0</v>
      </c>
      <c r="AG34" s="38">
        <f t="shared" ref="AG34:AG76" si="72">S34*$J34</f>
        <v>0</v>
      </c>
      <c r="AH34" s="38">
        <f t="shared" si="24"/>
        <v>0</v>
      </c>
      <c r="AI34" s="38">
        <f t="shared" si="25"/>
        <v>0</v>
      </c>
      <c r="AJ34" s="38">
        <f t="shared" si="26"/>
        <v>0</v>
      </c>
      <c r="AK34" s="38">
        <f t="shared" si="27"/>
        <v>0</v>
      </c>
      <c r="AL34" s="38">
        <f t="shared" si="28"/>
        <v>0</v>
      </c>
      <c r="AM34" s="38">
        <f t="shared" si="29"/>
        <v>0</v>
      </c>
      <c r="AN34" s="38">
        <f t="shared" si="30"/>
        <v>0</v>
      </c>
      <c r="AO34" s="38">
        <f t="shared" si="31"/>
        <v>0</v>
      </c>
      <c r="AP34" s="39">
        <f t="shared" si="70"/>
        <v>0</v>
      </c>
      <c r="AQ34" s="29"/>
      <c r="AR34" s="15" t="str">
        <f t="shared" si="55"/>
        <v/>
      </c>
      <c r="AS34" s="15" t="str">
        <f t="shared" si="56"/>
        <v/>
      </c>
      <c r="AT34" s="15" t="str">
        <f t="shared" si="57"/>
        <v/>
      </c>
      <c r="AU34" s="15" t="str">
        <f t="shared" si="58"/>
        <v/>
      </c>
      <c r="AV34" s="15" t="str">
        <f t="shared" si="59"/>
        <v/>
      </c>
      <c r="AW34" s="15" t="str">
        <f t="shared" si="60"/>
        <v/>
      </c>
      <c r="AX34" s="15" t="str">
        <f t="shared" si="61"/>
        <v/>
      </c>
      <c r="AY34" s="15" t="str">
        <f t="shared" si="62"/>
        <v/>
      </c>
      <c r="AZ34" s="15" t="str">
        <f t="shared" si="63"/>
        <v/>
      </c>
      <c r="BA34" s="15" t="str">
        <f t="shared" si="64"/>
        <v/>
      </c>
      <c r="BB34" s="15" t="str">
        <f t="shared" si="65"/>
        <v/>
      </c>
      <c r="BC34" s="15" t="str">
        <f t="shared" si="66"/>
        <v/>
      </c>
      <c r="BE34" s="14">
        <f t="shared" si="9"/>
        <v>0</v>
      </c>
      <c r="BF34" s="14">
        <f t="shared" si="10"/>
        <v>0</v>
      </c>
      <c r="BG34" s="14">
        <f t="shared" si="11"/>
        <v>0</v>
      </c>
      <c r="BH34" s="14">
        <f t="shared" si="12"/>
        <v>0</v>
      </c>
      <c r="BI34" s="14">
        <f t="shared" si="13"/>
        <v>0</v>
      </c>
      <c r="BJ34" s="14">
        <f t="shared" si="14"/>
        <v>0</v>
      </c>
      <c r="BK34" s="14">
        <f t="shared" si="15"/>
        <v>0</v>
      </c>
      <c r="BL34" s="14">
        <f t="shared" si="16"/>
        <v>0</v>
      </c>
      <c r="BM34" s="14">
        <f t="shared" si="17"/>
        <v>0</v>
      </c>
      <c r="BN34" s="14">
        <f t="shared" si="18"/>
        <v>0</v>
      </c>
      <c r="BO34" s="14">
        <f t="shared" si="19"/>
        <v>0</v>
      </c>
      <c r="BP34" s="14">
        <f t="shared" si="20"/>
        <v>0</v>
      </c>
      <c r="BQ34" s="37">
        <f t="shared" si="67"/>
        <v>0</v>
      </c>
    </row>
    <row r="35" spans="1:69" s="23" customFormat="1" ht="18" customHeight="1">
      <c r="A35" s="2"/>
      <c r="B35" s="12">
        <v>45</v>
      </c>
      <c r="C35" s="12"/>
      <c r="D35" s="11" t="s">
        <v>125</v>
      </c>
      <c r="E35" s="11" t="s">
        <v>108</v>
      </c>
      <c r="F35" s="11" t="s">
        <v>109</v>
      </c>
      <c r="G35" s="11"/>
      <c r="H35" s="11" t="s">
        <v>75</v>
      </c>
      <c r="I35" s="13">
        <v>0.3</v>
      </c>
      <c r="J35" s="13">
        <v>0.5</v>
      </c>
      <c r="K35" s="12"/>
      <c r="L35" s="12"/>
      <c r="M35" s="12"/>
      <c r="N35" s="12"/>
      <c r="O35" s="12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37">
        <f t="shared" si="54"/>
        <v>0</v>
      </c>
      <c r="AC35" s="29"/>
      <c r="AD35" s="38">
        <f t="shared" si="21"/>
        <v>0</v>
      </c>
      <c r="AE35" s="38">
        <f t="shared" si="22"/>
        <v>0</v>
      </c>
      <c r="AF35" s="38">
        <f t="shared" si="71"/>
        <v>0</v>
      </c>
      <c r="AG35" s="38">
        <f t="shared" si="72"/>
        <v>0</v>
      </c>
      <c r="AH35" s="38">
        <f t="shared" si="24"/>
        <v>0</v>
      </c>
      <c r="AI35" s="38">
        <f t="shared" si="25"/>
        <v>0</v>
      </c>
      <c r="AJ35" s="38">
        <f t="shared" si="26"/>
        <v>0</v>
      </c>
      <c r="AK35" s="38">
        <f t="shared" si="27"/>
        <v>0</v>
      </c>
      <c r="AL35" s="38">
        <f t="shared" si="28"/>
        <v>0</v>
      </c>
      <c r="AM35" s="38">
        <f t="shared" si="29"/>
        <v>0</v>
      </c>
      <c r="AN35" s="38">
        <f t="shared" si="30"/>
        <v>0</v>
      </c>
      <c r="AO35" s="38">
        <f t="shared" si="31"/>
        <v>0</v>
      </c>
      <c r="AP35" s="39">
        <f t="shared" si="70"/>
        <v>0</v>
      </c>
      <c r="AQ35" s="29"/>
      <c r="AR35" s="15" t="str">
        <f t="shared" si="55"/>
        <v/>
      </c>
      <c r="AS35" s="15" t="str">
        <f t="shared" si="56"/>
        <v/>
      </c>
      <c r="AT35" s="15" t="str">
        <f t="shared" si="57"/>
        <v/>
      </c>
      <c r="AU35" s="15" t="str">
        <f t="shared" si="58"/>
        <v/>
      </c>
      <c r="AV35" s="15" t="str">
        <f t="shared" si="59"/>
        <v/>
      </c>
      <c r="AW35" s="15" t="str">
        <f t="shared" si="60"/>
        <v/>
      </c>
      <c r="AX35" s="15" t="str">
        <f t="shared" si="61"/>
        <v/>
      </c>
      <c r="AY35" s="15" t="str">
        <f t="shared" si="62"/>
        <v/>
      </c>
      <c r="AZ35" s="15" t="str">
        <f t="shared" si="63"/>
        <v/>
      </c>
      <c r="BA35" s="15" t="str">
        <f t="shared" si="64"/>
        <v/>
      </c>
      <c r="BB35" s="15" t="str">
        <f t="shared" si="65"/>
        <v/>
      </c>
      <c r="BC35" s="15" t="str">
        <f t="shared" si="66"/>
        <v/>
      </c>
      <c r="BE35" s="14">
        <f t="shared" si="9"/>
        <v>0</v>
      </c>
      <c r="BF35" s="14">
        <f t="shared" si="10"/>
        <v>0</v>
      </c>
      <c r="BG35" s="14">
        <f t="shared" si="11"/>
        <v>0</v>
      </c>
      <c r="BH35" s="14">
        <f t="shared" si="12"/>
        <v>0</v>
      </c>
      <c r="BI35" s="14">
        <f t="shared" si="13"/>
        <v>0</v>
      </c>
      <c r="BJ35" s="14">
        <f t="shared" si="14"/>
        <v>0</v>
      </c>
      <c r="BK35" s="14">
        <f t="shared" si="15"/>
        <v>0</v>
      </c>
      <c r="BL35" s="14">
        <f t="shared" si="16"/>
        <v>0</v>
      </c>
      <c r="BM35" s="14">
        <f t="shared" si="17"/>
        <v>0</v>
      </c>
      <c r="BN35" s="14">
        <f t="shared" si="18"/>
        <v>0</v>
      </c>
      <c r="BO35" s="14">
        <f t="shared" si="19"/>
        <v>0</v>
      </c>
      <c r="BP35" s="14">
        <f t="shared" si="20"/>
        <v>0</v>
      </c>
      <c r="BQ35" s="37">
        <f t="shared" si="67"/>
        <v>0</v>
      </c>
    </row>
    <row r="36" spans="1:69" s="23" customFormat="1" ht="18" hidden="1" customHeight="1">
      <c r="A36" s="2"/>
      <c r="B36" s="12">
        <v>28</v>
      </c>
      <c r="C36" s="12"/>
      <c r="D36" s="11" t="s">
        <v>126</v>
      </c>
      <c r="E36" s="10" t="s">
        <v>67</v>
      </c>
      <c r="F36" s="11" t="s">
        <v>127</v>
      </c>
      <c r="G36" s="11"/>
      <c r="H36" s="11" t="s">
        <v>70</v>
      </c>
      <c r="I36" s="25">
        <v>1</v>
      </c>
      <c r="J36" s="13">
        <v>0.7</v>
      </c>
      <c r="K36" s="12"/>
      <c r="L36" s="12"/>
      <c r="M36" s="12" t="s">
        <v>76</v>
      </c>
      <c r="N36" s="12" t="s">
        <v>128</v>
      </c>
      <c r="O36" s="12"/>
      <c r="P36" s="14">
        <v>1200</v>
      </c>
      <c r="Q36" s="14">
        <v>1200</v>
      </c>
      <c r="R36" s="14">
        <v>1200</v>
      </c>
      <c r="S36" s="14">
        <v>1200</v>
      </c>
      <c r="T36" s="14">
        <v>1200</v>
      </c>
      <c r="U36" s="14">
        <v>1200</v>
      </c>
      <c r="V36" s="14">
        <v>1200</v>
      </c>
      <c r="W36" s="14">
        <v>1200</v>
      </c>
      <c r="X36" s="14">
        <v>1200</v>
      </c>
      <c r="Y36" s="14">
        <v>1200</v>
      </c>
      <c r="Z36" s="14">
        <v>1200</v>
      </c>
      <c r="AA36" s="14">
        <v>1200</v>
      </c>
      <c r="AB36" s="37">
        <f t="shared" si="54"/>
        <v>14400</v>
      </c>
      <c r="AC36" s="29"/>
      <c r="AD36" s="38">
        <f t="shared" si="21"/>
        <v>840</v>
      </c>
      <c r="AE36" s="38">
        <f t="shared" si="22"/>
        <v>840</v>
      </c>
      <c r="AF36" s="38">
        <f t="shared" si="71"/>
        <v>840</v>
      </c>
      <c r="AG36" s="38">
        <f t="shared" si="72"/>
        <v>840</v>
      </c>
      <c r="AH36" s="38">
        <f t="shared" si="24"/>
        <v>840</v>
      </c>
      <c r="AI36" s="38">
        <f t="shared" si="25"/>
        <v>840</v>
      </c>
      <c r="AJ36" s="38">
        <f t="shared" si="26"/>
        <v>840</v>
      </c>
      <c r="AK36" s="38">
        <f t="shared" si="27"/>
        <v>840</v>
      </c>
      <c r="AL36" s="38">
        <f t="shared" si="28"/>
        <v>840</v>
      </c>
      <c r="AM36" s="38">
        <f t="shared" si="29"/>
        <v>840</v>
      </c>
      <c r="AN36" s="38">
        <f t="shared" si="30"/>
        <v>840</v>
      </c>
      <c r="AO36" s="38">
        <f t="shared" si="31"/>
        <v>840</v>
      </c>
      <c r="AP36" s="39">
        <f t="shared" si="70"/>
        <v>10080</v>
      </c>
      <c r="AQ36" s="29"/>
      <c r="AR36" s="15">
        <f t="shared" si="55"/>
        <v>0.3</v>
      </c>
      <c r="AS36" s="15">
        <f t="shared" si="56"/>
        <v>0.3</v>
      </c>
      <c r="AT36" s="15">
        <f t="shared" si="57"/>
        <v>0.3</v>
      </c>
      <c r="AU36" s="15">
        <f t="shared" si="58"/>
        <v>0.3</v>
      </c>
      <c r="AV36" s="15">
        <f t="shared" si="59"/>
        <v>0.3</v>
      </c>
      <c r="AW36" s="15">
        <f t="shared" si="60"/>
        <v>0.3</v>
      </c>
      <c r="AX36" s="15">
        <f t="shared" si="61"/>
        <v>0.3</v>
      </c>
      <c r="AY36" s="15">
        <f t="shared" si="62"/>
        <v>0.3</v>
      </c>
      <c r="AZ36" s="15">
        <f t="shared" si="63"/>
        <v>0.3</v>
      </c>
      <c r="BA36" s="15">
        <f t="shared" si="64"/>
        <v>0.3</v>
      </c>
      <c r="BB36" s="15">
        <f t="shared" si="65"/>
        <v>0.3</v>
      </c>
      <c r="BC36" s="15">
        <f t="shared" si="66"/>
        <v>0.3</v>
      </c>
      <c r="BE36" s="14">
        <f t="shared" si="9"/>
        <v>1200</v>
      </c>
      <c r="BF36" s="14">
        <f t="shared" si="10"/>
        <v>1200</v>
      </c>
      <c r="BG36" s="14">
        <f t="shared" si="11"/>
        <v>1200</v>
      </c>
      <c r="BH36" s="14">
        <f t="shared" si="12"/>
        <v>1200</v>
      </c>
      <c r="BI36" s="14">
        <f t="shared" si="13"/>
        <v>1200</v>
      </c>
      <c r="BJ36" s="14">
        <f t="shared" si="14"/>
        <v>1200</v>
      </c>
      <c r="BK36" s="14">
        <f t="shared" si="15"/>
        <v>1200</v>
      </c>
      <c r="BL36" s="14">
        <f t="shared" si="16"/>
        <v>1200</v>
      </c>
      <c r="BM36" s="14">
        <f t="shared" si="17"/>
        <v>1200</v>
      </c>
      <c r="BN36" s="14">
        <f t="shared" si="18"/>
        <v>1200</v>
      </c>
      <c r="BO36" s="14">
        <f t="shared" si="19"/>
        <v>1200</v>
      </c>
      <c r="BP36" s="14">
        <f t="shared" si="20"/>
        <v>1200</v>
      </c>
      <c r="BQ36" s="37">
        <f t="shared" si="67"/>
        <v>14400</v>
      </c>
    </row>
    <row r="37" spans="1:69" s="23" customFormat="1" ht="18" hidden="1" customHeight="1">
      <c r="A37" s="2"/>
      <c r="B37" s="12">
        <v>16</v>
      </c>
      <c r="C37" s="12"/>
      <c r="D37" s="11" t="s">
        <v>129</v>
      </c>
      <c r="E37" s="10" t="s">
        <v>120</v>
      </c>
      <c r="F37" s="11" t="s">
        <v>127</v>
      </c>
      <c r="G37" s="11"/>
      <c r="H37" s="11" t="s">
        <v>70</v>
      </c>
      <c r="I37" s="25">
        <v>1</v>
      </c>
      <c r="J37" s="13">
        <v>0.4</v>
      </c>
      <c r="K37" s="12"/>
      <c r="L37" s="12"/>
      <c r="M37" s="12" t="s">
        <v>71</v>
      </c>
      <c r="N37" s="12" t="s">
        <v>78</v>
      </c>
      <c r="O37" s="12"/>
      <c r="P37" s="14">
        <v>500</v>
      </c>
      <c r="Q37" s="14">
        <v>500</v>
      </c>
      <c r="R37" s="14">
        <v>500</v>
      </c>
      <c r="S37" s="14">
        <v>500</v>
      </c>
      <c r="T37" s="14">
        <v>500</v>
      </c>
      <c r="U37" s="14">
        <v>500</v>
      </c>
      <c r="V37" s="14">
        <v>500</v>
      </c>
      <c r="W37" s="14">
        <v>500</v>
      </c>
      <c r="X37" s="14">
        <v>500</v>
      </c>
      <c r="Y37" s="14">
        <v>500</v>
      </c>
      <c r="Z37" s="14">
        <v>500</v>
      </c>
      <c r="AA37" s="14">
        <v>500</v>
      </c>
      <c r="AB37" s="37">
        <f t="shared" si="54"/>
        <v>6000</v>
      </c>
      <c r="AC37" s="29"/>
      <c r="AD37" s="38">
        <f t="shared" si="21"/>
        <v>200</v>
      </c>
      <c r="AE37" s="38">
        <f t="shared" si="22"/>
        <v>200</v>
      </c>
      <c r="AF37" s="38">
        <f t="shared" si="71"/>
        <v>200</v>
      </c>
      <c r="AG37" s="38">
        <f t="shared" si="72"/>
        <v>200</v>
      </c>
      <c r="AH37" s="38">
        <f t="shared" si="24"/>
        <v>200</v>
      </c>
      <c r="AI37" s="38">
        <f t="shared" si="25"/>
        <v>200</v>
      </c>
      <c r="AJ37" s="38">
        <f t="shared" si="26"/>
        <v>200</v>
      </c>
      <c r="AK37" s="38">
        <f t="shared" si="27"/>
        <v>200</v>
      </c>
      <c r="AL37" s="38">
        <f t="shared" si="28"/>
        <v>200</v>
      </c>
      <c r="AM37" s="38">
        <f t="shared" si="29"/>
        <v>200</v>
      </c>
      <c r="AN37" s="38">
        <f t="shared" si="30"/>
        <v>200</v>
      </c>
      <c r="AO37" s="38">
        <f t="shared" si="31"/>
        <v>200</v>
      </c>
      <c r="AP37" s="39"/>
      <c r="AQ37" s="29"/>
      <c r="AR37" s="15"/>
      <c r="AS37" s="15"/>
      <c r="AT37" s="15"/>
      <c r="AU37" s="15">
        <f t="shared" ref="AU37:AU76" si="73">IFERROR((S37-AG37)/S37,"")</f>
        <v>0.6</v>
      </c>
      <c r="AV37" s="15">
        <f t="shared" ref="AV37:AV76" si="74">IFERROR((T37-AH37)/T37,"")</f>
        <v>0.6</v>
      </c>
      <c r="AW37" s="15"/>
      <c r="AX37" s="15"/>
      <c r="AY37" s="15"/>
      <c r="AZ37" s="15"/>
      <c r="BA37" s="15"/>
      <c r="BB37" s="15"/>
      <c r="BC37" s="15"/>
      <c r="BE37" s="14">
        <f t="shared" si="9"/>
        <v>500</v>
      </c>
      <c r="BF37" s="14">
        <f t="shared" si="10"/>
        <v>500</v>
      </c>
      <c r="BG37" s="14">
        <f t="shared" si="11"/>
        <v>500</v>
      </c>
      <c r="BH37" s="14">
        <f t="shared" si="12"/>
        <v>500</v>
      </c>
      <c r="BI37" s="14">
        <f t="shared" si="13"/>
        <v>500</v>
      </c>
      <c r="BJ37" s="14">
        <f t="shared" si="14"/>
        <v>500</v>
      </c>
      <c r="BK37" s="14">
        <f t="shared" si="15"/>
        <v>500</v>
      </c>
      <c r="BL37" s="14">
        <f t="shared" si="16"/>
        <v>500</v>
      </c>
      <c r="BM37" s="14">
        <f t="shared" si="17"/>
        <v>500</v>
      </c>
      <c r="BN37" s="14">
        <f t="shared" si="18"/>
        <v>500</v>
      </c>
      <c r="BO37" s="14">
        <f t="shared" si="19"/>
        <v>500</v>
      </c>
      <c r="BP37" s="14">
        <f t="shared" si="20"/>
        <v>500</v>
      </c>
      <c r="BQ37" s="37">
        <f t="shared" si="67"/>
        <v>6000</v>
      </c>
    </row>
    <row r="38" spans="1:69" s="23" customFormat="1" ht="18" customHeight="1">
      <c r="A38" s="2"/>
      <c r="B38" s="12">
        <v>9</v>
      </c>
      <c r="C38" s="12"/>
      <c r="D38" s="10" t="s">
        <v>130</v>
      </c>
      <c r="E38" s="10" t="s">
        <v>120</v>
      </c>
      <c r="F38" s="11" t="s">
        <v>131</v>
      </c>
      <c r="G38" s="11"/>
      <c r="H38" s="11" t="s">
        <v>75</v>
      </c>
      <c r="I38" s="13">
        <v>0</v>
      </c>
      <c r="J38" s="13">
        <v>0.4</v>
      </c>
      <c r="K38" s="12"/>
      <c r="L38" s="12"/>
      <c r="M38" s="12" t="s">
        <v>71</v>
      </c>
      <c r="N38" s="12" t="s">
        <v>71</v>
      </c>
      <c r="O38" s="12"/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0</v>
      </c>
      <c r="Y38" s="14">
        <v>0</v>
      </c>
      <c r="Z38" s="14">
        <v>0</v>
      </c>
      <c r="AA38" s="14">
        <v>0</v>
      </c>
      <c r="AB38" s="37">
        <f t="shared" si="54"/>
        <v>0</v>
      </c>
      <c r="AC38" s="29"/>
      <c r="AD38" s="38">
        <f t="shared" si="21"/>
        <v>0</v>
      </c>
      <c r="AE38" s="38">
        <f t="shared" si="22"/>
        <v>0</v>
      </c>
      <c r="AF38" s="38">
        <f t="shared" si="71"/>
        <v>0</v>
      </c>
      <c r="AG38" s="38">
        <f t="shared" si="72"/>
        <v>0</v>
      </c>
      <c r="AH38" s="38">
        <f t="shared" si="24"/>
        <v>0</v>
      </c>
      <c r="AI38" s="38">
        <f t="shared" si="25"/>
        <v>0</v>
      </c>
      <c r="AJ38" s="38">
        <f t="shared" si="26"/>
        <v>0</v>
      </c>
      <c r="AK38" s="38">
        <f t="shared" si="27"/>
        <v>0</v>
      </c>
      <c r="AL38" s="38">
        <f t="shared" si="28"/>
        <v>0</v>
      </c>
      <c r="AM38" s="38">
        <f t="shared" si="29"/>
        <v>0</v>
      </c>
      <c r="AN38" s="38">
        <f t="shared" si="30"/>
        <v>0</v>
      </c>
      <c r="AO38" s="38">
        <f t="shared" si="31"/>
        <v>0</v>
      </c>
      <c r="AP38" s="39">
        <f t="shared" ref="AP38:AP76" si="75">SUM(AD38:AO38)</f>
        <v>0</v>
      </c>
      <c r="AQ38" s="29"/>
      <c r="AR38" s="15" t="str">
        <f t="shared" ref="AR38:AR76" si="76">IFERROR((P38-AD38)/P38,"")</f>
        <v/>
      </c>
      <c r="AS38" s="15" t="str">
        <f t="shared" ref="AS38:AS76" si="77">IFERROR((Q38-AE38)/Q38,"")</f>
        <v/>
      </c>
      <c r="AT38" s="15" t="str">
        <f t="shared" ref="AT38:AT76" si="78">IFERROR((R38-AF38)/R38,"")</f>
        <v/>
      </c>
      <c r="AU38" s="15" t="str">
        <f t="shared" si="73"/>
        <v/>
      </c>
      <c r="AV38" s="15" t="str">
        <f t="shared" si="74"/>
        <v/>
      </c>
      <c r="AW38" s="15" t="str">
        <f t="shared" ref="AW38:AW76" si="79">IFERROR((U38-AI38)/U38,"")</f>
        <v/>
      </c>
      <c r="AX38" s="15" t="str">
        <f t="shared" ref="AX38:AX76" si="80">IFERROR((V38-AJ38)/V38,"")</f>
        <v/>
      </c>
      <c r="AY38" s="15" t="str">
        <f t="shared" ref="AY38:AY76" si="81">IFERROR((W38-AK38)/W38,"")</f>
        <v/>
      </c>
      <c r="AZ38" s="15" t="str">
        <f t="shared" ref="AZ38:AZ76" si="82">IFERROR((X38-AL38)/X38,"")</f>
        <v/>
      </c>
      <c r="BA38" s="15" t="str">
        <f t="shared" ref="BA38:BA76" si="83">IFERROR((Y38-AM38)/Y38,"")</f>
        <v/>
      </c>
      <c r="BB38" s="15" t="str">
        <f t="shared" ref="BB38:BB76" si="84">IFERROR((Z38-AN38)/Z38,"")</f>
        <v/>
      </c>
      <c r="BC38" s="15" t="str">
        <f t="shared" ref="BC38:BC76" si="85">IFERROR((AA38-AO38)/AA38,"")</f>
        <v/>
      </c>
      <c r="BE38" s="14">
        <f t="shared" si="9"/>
        <v>0</v>
      </c>
      <c r="BF38" s="14">
        <f t="shared" si="10"/>
        <v>0</v>
      </c>
      <c r="BG38" s="14">
        <f t="shared" si="11"/>
        <v>0</v>
      </c>
      <c r="BH38" s="14">
        <f t="shared" si="12"/>
        <v>0</v>
      </c>
      <c r="BI38" s="14">
        <f t="shared" si="13"/>
        <v>0</v>
      </c>
      <c r="BJ38" s="14">
        <f t="shared" si="14"/>
        <v>0</v>
      </c>
      <c r="BK38" s="14">
        <f t="shared" si="15"/>
        <v>0</v>
      </c>
      <c r="BL38" s="14">
        <f t="shared" si="16"/>
        <v>0</v>
      </c>
      <c r="BM38" s="14">
        <f t="shared" si="17"/>
        <v>0</v>
      </c>
      <c r="BN38" s="14">
        <f t="shared" si="18"/>
        <v>0</v>
      </c>
      <c r="BO38" s="14">
        <f t="shared" si="19"/>
        <v>0</v>
      </c>
      <c r="BP38" s="14">
        <f t="shared" si="20"/>
        <v>0</v>
      </c>
      <c r="BQ38" s="37">
        <f t="shared" si="67"/>
        <v>0</v>
      </c>
    </row>
    <row r="39" spans="1:69" s="23" customFormat="1" ht="18" customHeight="1">
      <c r="A39" s="2"/>
      <c r="B39" s="12">
        <v>48</v>
      </c>
      <c r="C39" s="12"/>
      <c r="D39" s="11" t="s">
        <v>132</v>
      </c>
      <c r="E39" s="11" t="s">
        <v>120</v>
      </c>
      <c r="F39" s="11" t="s">
        <v>133</v>
      </c>
      <c r="G39" s="11"/>
      <c r="H39" s="11" t="s">
        <v>75</v>
      </c>
      <c r="I39" s="13">
        <v>0.5</v>
      </c>
      <c r="J39" s="24"/>
      <c r="K39" s="12"/>
      <c r="L39" s="12"/>
      <c r="M39" s="12" t="s">
        <v>76</v>
      </c>
      <c r="N39" s="12"/>
      <c r="O39" s="12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37">
        <f t="shared" si="54"/>
        <v>0</v>
      </c>
      <c r="AC39" s="29"/>
      <c r="AD39" s="38">
        <f t="shared" si="21"/>
        <v>0</v>
      </c>
      <c r="AE39" s="38">
        <f t="shared" si="22"/>
        <v>0</v>
      </c>
      <c r="AF39" s="38">
        <f t="shared" si="71"/>
        <v>0</v>
      </c>
      <c r="AG39" s="38">
        <f t="shared" si="72"/>
        <v>0</v>
      </c>
      <c r="AH39" s="38">
        <f t="shared" si="24"/>
        <v>0</v>
      </c>
      <c r="AI39" s="38">
        <f t="shared" si="25"/>
        <v>0</v>
      </c>
      <c r="AJ39" s="38">
        <f t="shared" si="26"/>
        <v>0</v>
      </c>
      <c r="AK39" s="38">
        <f t="shared" si="27"/>
        <v>0</v>
      </c>
      <c r="AL39" s="38">
        <f t="shared" si="28"/>
        <v>0</v>
      </c>
      <c r="AM39" s="38">
        <f t="shared" si="29"/>
        <v>0</v>
      </c>
      <c r="AN39" s="38">
        <f t="shared" si="30"/>
        <v>0</v>
      </c>
      <c r="AO39" s="38">
        <f t="shared" si="31"/>
        <v>0</v>
      </c>
      <c r="AP39" s="39">
        <f t="shared" si="75"/>
        <v>0</v>
      </c>
      <c r="AQ39" s="29"/>
      <c r="AR39" s="15" t="str">
        <f t="shared" si="76"/>
        <v/>
      </c>
      <c r="AS39" s="15" t="str">
        <f t="shared" si="77"/>
        <v/>
      </c>
      <c r="AT39" s="15" t="str">
        <f t="shared" si="78"/>
        <v/>
      </c>
      <c r="AU39" s="15" t="str">
        <f t="shared" si="73"/>
        <v/>
      </c>
      <c r="AV39" s="15" t="str">
        <f t="shared" si="74"/>
        <v/>
      </c>
      <c r="AW39" s="15" t="str">
        <f t="shared" si="79"/>
        <v/>
      </c>
      <c r="AX39" s="15" t="str">
        <f t="shared" si="80"/>
        <v/>
      </c>
      <c r="AY39" s="15" t="str">
        <f t="shared" si="81"/>
        <v/>
      </c>
      <c r="AZ39" s="15" t="str">
        <f t="shared" si="82"/>
        <v/>
      </c>
      <c r="BA39" s="15" t="str">
        <f t="shared" si="83"/>
        <v/>
      </c>
      <c r="BB39" s="15" t="str">
        <f t="shared" si="84"/>
        <v/>
      </c>
      <c r="BC39" s="15" t="str">
        <f t="shared" si="85"/>
        <v/>
      </c>
      <c r="BE39" s="14">
        <f t="shared" si="9"/>
        <v>0</v>
      </c>
      <c r="BF39" s="14">
        <f t="shared" si="10"/>
        <v>0</v>
      </c>
      <c r="BG39" s="14">
        <f t="shared" si="11"/>
        <v>0</v>
      </c>
      <c r="BH39" s="14">
        <f t="shared" si="12"/>
        <v>0</v>
      </c>
      <c r="BI39" s="14">
        <f t="shared" si="13"/>
        <v>0</v>
      </c>
      <c r="BJ39" s="14">
        <f t="shared" si="14"/>
        <v>0</v>
      </c>
      <c r="BK39" s="14">
        <f t="shared" si="15"/>
        <v>0</v>
      </c>
      <c r="BL39" s="14">
        <f t="shared" si="16"/>
        <v>0</v>
      </c>
      <c r="BM39" s="14">
        <f t="shared" si="17"/>
        <v>0</v>
      </c>
      <c r="BN39" s="14">
        <f t="shared" si="18"/>
        <v>0</v>
      </c>
      <c r="BO39" s="14">
        <f t="shared" si="19"/>
        <v>0</v>
      </c>
      <c r="BP39" s="14">
        <f t="shared" si="20"/>
        <v>0</v>
      </c>
      <c r="BQ39" s="37">
        <f t="shared" si="67"/>
        <v>0</v>
      </c>
    </row>
    <row r="40" spans="1:69" s="23" customFormat="1" ht="18" customHeight="1">
      <c r="A40" s="2"/>
      <c r="B40" s="12">
        <v>46</v>
      </c>
      <c r="C40" s="12"/>
      <c r="D40" s="11" t="s">
        <v>134</v>
      </c>
      <c r="E40" s="11" t="s">
        <v>108</v>
      </c>
      <c r="F40" s="11" t="s">
        <v>135</v>
      </c>
      <c r="G40" s="11"/>
      <c r="H40" s="11" t="s">
        <v>75</v>
      </c>
      <c r="I40" s="13">
        <v>0.3</v>
      </c>
      <c r="J40" s="13">
        <v>0.5</v>
      </c>
      <c r="K40" s="12"/>
      <c r="L40" s="12"/>
      <c r="M40" s="12"/>
      <c r="N40" s="12"/>
      <c r="O40" s="12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37">
        <f t="shared" si="54"/>
        <v>0</v>
      </c>
      <c r="AC40" s="29"/>
      <c r="AD40" s="38">
        <f t="shared" si="21"/>
        <v>0</v>
      </c>
      <c r="AE40" s="38">
        <f t="shared" si="22"/>
        <v>0</v>
      </c>
      <c r="AF40" s="38">
        <f t="shared" si="71"/>
        <v>0</v>
      </c>
      <c r="AG40" s="38">
        <f t="shared" si="72"/>
        <v>0</v>
      </c>
      <c r="AH40" s="38">
        <f t="shared" si="24"/>
        <v>0</v>
      </c>
      <c r="AI40" s="38">
        <f t="shared" si="25"/>
        <v>0</v>
      </c>
      <c r="AJ40" s="38">
        <f t="shared" si="26"/>
        <v>0</v>
      </c>
      <c r="AK40" s="38">
        <f t="shared" si="27"/>
        <v>0</v>
      </c>
      <c r="AL40" s="38">
        <f t="shared" si="28"/>
        <v>0</v>
      </c>
      <c r="AM40" s="38">
        <f t="shared" si="29"/>
        <v>0</v>
      </c>
      <c r="AN40" s="38">
        <f t="shared" si="30"/>
        <v>0</v>
      </c>
      <c r="AO40" s="38">
        <f t="shared" si="31"/>
        <v>0</v>
      </c>
      <c r="AP40" s="39">
        <f t="shared" si="75"/>
        <v>0</v>
      </c>
      <c r="AQ40" s="29"/>
      <c r="AR40" s="15" t="str">
        <f t="shared" si="76"/>
        <v/>
      </c>
      <c r="AS40" s="15" t="str">
        <f t="shared" si="77"/>
        <v/>
      </c>
      <c r="AT40" s="15" t="str">
        <f t="shared" si="78"/>
        <v/>
      </c>
      <c r="AU40" s="15" t="str">
        <f t="shared" si="73"/>
        <v/>
      </c>
      <c r="AV40" s="15" t="str">
        <f t="shared" si="74"/>
        <v/>
      </c>
      <c r="AW40" s="15" t="str">
        <f t="shared" si="79"/>
        <v/>
      </c>
      <c r="AX40" s="15" t="str">
        <f t="shared" si="80"/>
        <v/>
      </c>
      <c r="AY40" s="15" t="str">
        <f t="shared" si="81"/>
        <v/>
      </c>
      <c r="AZ40" s="15" t="str">
        <f t="shared" si="82"/>
        <v/>
      </c>
      <c r="BA40" s="15" t="str">
        <f t="shared" si="83"/>
        <v/>
      </c>
      <c r="BB40" s="15" t="str">
        <f t="shared" si="84"/>
        <v/>
      </c>
      <c r="BC40" s="15" t="str">
        <f t="shared" si="85"/>
        <v/>
      </c>
      <c r="BE40" s="14">
        <f t="shared" si="9"/>
        <v>0</v>
      </c>
      <c r="BF40" s="14">
        <f t="shared" si="10"/>
        <v>0</v>
      </c>
      <c r="BG40" s="14">
        <f t="shared" si="11"/>
        <v>0</v>
      </c>
      <c r="BH40" s="14">
        <f t="shared" si="12"/>
        <v>0</v>
      </c>
      <c r="BI40" s="14">
        <f t="shared" si="13"/>
        <v>0</v>
      </c>
      <c r="BJ40" s="14">
        <f t="shared" si="14"/>
        <v>0</v>
      </c>
      <c r="BK40" s="14">
        <f t="shared" si="15"/>
        <v>0</v>
      </c>
      <c r="BL40" s="14">
        <f t="shared" si="16"/>
        <v>0</v>
      </c>
      <c r="BM40" s="14">
        <f t="shared" si="17"/>
        <v>0</v>
      </c>
      <c r="BN40" s="14">
        <f t="shared" si="18"/>
        <v>0</v>
      </c>
      <c r="BO40" s="14">
        <f t="shared" si="19"/>
        <v>0</v>
      </c>
      <c r="BP40" s="14">
        <f t="shared" si="20"/>
        <v>0</v>
      </c>
      <c r="BQ40" s="37">
        <f t="shared" si="67"/>
        <v>0</v>
      </c>
    </row>
    <row r="41" spans="1:69" s="23" customFormat="1" ht="18" hidden="1" customHeight="1">
      <c r="A41" s="2"/>
      <c r="B41" s="12">
        <v>17</v>
      </c>
      <c r="C41" s="12"/>
      <c r="D41" s="11" t="s">
        <v>136</v>
      </c>
      <c r="E41" s="10" t="s">
        <v>120</v>
      </c>
      <c r="F41" s="11" t="s">
        <v>107</v>
      </c>
      <c r="G41" s="11"/>
      <c r="H41" s="11" t="s">
        <v>70</v>
      </c>
      <c r="I41" s="25">
        <v>1</v>
      </c>
      <c r="J41" s="13">
        <v>0.4</v>
      </c>
      <c r="K41" s="12"/>
      <c r="L41" s="12"/>
      <c r="M41" s="12" t="s">
        <v>71</v>
      </c>
      <c r="N41" s="12" t="s">
        <v>78</v>
      </c>
      <c r="O41" s="12"/>
      <c r="P41" s="14">
        <v>375</v>
      </c>
      <c r="Q41" s="14">
        <v>375</v>
      </c>
      <c r="R41" s="14">
        <v>375</v>
      </c>
      <c r="S41" s="14">
        <v>375</v>
      </c>
      <c r="T41" s="14">
        <v>375</v>
      </c>
      <c r="U41" s="14">
        <v>375</v>
      </c>
      <c r="V41" s="14">
        <v>375</v>
      </c>
      <c r="W41" s="14"/>
      <c r="X41" s="14"/>
      <c r="Y41" s="14"/>
      <c r="Z41" s="14"/>
      <c r="AA41" s="14"/>
      <c r="AB41" s="37">
        <f t="shared" si="54"/>
        <v>2625</v>
      </c>
      <c r="AC41" s="29"/>
      <c r="AD41" s="38">
        <f t="shared" ref="AD41:AD76" si="86">P41*$J41</f>
        <v>150</v>
      </c>
      <c r="AE41" s="38">
        <f t="shared" ref="AE41:AE76" si="87">Q41*$J41</f>
        <v>150</v>
      </c>
      <c r="AF41" s="38">
        <f t="shared" si="71"/>
        <v>150</v>
      </c>
      <c r="AG41" s="38">
        <f t="shared" si="72"/>
        <v>150</v>
      </c>
      <c r="AH41" s="38">
        <f t="shared" ref="AH41:AH76" si="88">T41*$J41</f>
        <v>150</v>
      </c>
      <c r="AI41" s="38">
        <f t="shared" ref="AI41:AI76" si="89">U41*$J41</f>
        <v>150</v>
      </c>
      <c r="AJ41" s="38">
        <f t="shared" ref="AJ41:AJ76" si="90">V41*$J41</f>
        <v>150</v>
      </c>
      <c r="AK41" s="38">
        <f t="shared" ref="AK41:AK76" si="91">W41*$J41</f>
        <v>0</v>
      </c>
      <c r="AL41" s="38">
        <f t="shared" ref="AL41:AL76" si="92">X41*$J41</f>
        <v>0</v>
      </c>
      <c r="AM41" s="38">
        <f t="shared" ref="AM41:AM76" si="93">Y41*$J41</f>
        <v>0</v>
      </c>
      <c r="AN41" s="38">
        <f t="shared" ref="AN41:AN76" si="94">Z41*$J41</f>
        <v>0</v>
      </c>
      <c r="AO41" s="38">
        <f t="shared" ref="AO41:AO76" si="95">AA41*$J41</f>
        <v>0</v>
      </c>
      <c r="AP41" s="39">
        <f t="shared" si="75"/>
        <v>1050</v>
      </c>
      <c r="AQ41" s="29"/>
      <c r="AR41" s="15">
        <f t="shared" si="76"/>
        <v>0.6</v>
      </c>
      <c r="AS41" s="15">
        <f t="shared" si="77"/>
        <v>0.6</v>
      </c>
      <c r="AT41" s="15">
        <f t="shared" si="78"/>
        <v>0.6</v>
      </c>
      <c r="AU41" s="15">
        <f t="shared" si="73"/>
        <v>0.6</v>
      </c>
      <c r="AV41" s="15">
        <f t="shared" si="74"/>
        <v>0.6</v>
      </c>
      <c r="AW41" s="15">
        <f t="shared" si="79"/>
        <v>0.6</v>
      </c>
      <c r="AX41" s="15">
        <f t="shared" si="80"/>
        <v>0.6</v>
      </c>
      <c r="AY41" s="15" t="str">
        <f t="shared" si="81"/>
        <v/>
      </c>
      <c r="AZ41" s="15" t="str">
        <f t="shared" si="82"/>
        <v/>
      </c>
      <c r="BA41" s="15" t="str">
        <f t="shared" si="83"/>
        <v/>
      </c>
      <c r="BB41" s="15" t="str">
        <f t="shared" si="84"/>
        <v/>
      </c>
      <c r="BC41" s="15" t="str">
        <f t="shared" si="85"/>
        <v/>
      </c>
      <c r="BE41" s="14">
        <f t="shared" si="9"/>
        <v>375</v>
      </c>
      <c r="BF41" s="14">
        <f t="shared" si="10"/>
        <v>375</v>
      </c>
      <c r="BG41" s="14">
        <f t="shared" si="11"/>
        <v>375</v>
      </c>
      <c r="BH41" s="14">
        <f t="shared" si="12"/>
        <v>375</v>
      </c>
      <c r="BI41" s="14">
        <f t="shared" si="13"/>
        <v>375</v>
      </c>
      <c r="BJ41" s="14">
        <f t="shared" si="14"/>
        <v>375</v>
      </c>
      <c r="BK41" s="14">
        <f t="shared" si="15"/>
        <v>375</v>
      </c>
      <c r="BL41" s="14">
        <f t="shared" si="16"/>
        <v>0</v>
      </c>
      <c r="BM41" s="14">
        <f t="shared" si="17"/>
        <v>0</v>
      </c>
      <c r="BN41" s="14">
        <f t="shared" si="18"/>
        <v>0</v>
      </c>
      <c r="BO41" s="14">
        <f t="shared" si="19"/>
        <v>0</v>
      </c>
      <c r="BP41" s="14">
        <f t="shared" si="20"/>
        <v>0</v>
      </c>
      <c r="BQ41" s="37">
        <f t="shared" si="67"/>
        <v>2625</v>
      </c>
    </row>
    <row r="42" spans="1:69" s="23" customFormat="1" ht="18" hidden="1" customHeight="1">
      <c r="A42" s="2"/>
      <c r="B42" s="12">
        <v>56</v>
      </c>
      <c r="C42" s="12"/>
      <c r="D42" s="11" t="s">
        <v>136</v>
      </c>
      <c r="E42" s="10" t="s">
        <v>120</v>
      </c>
      <c r="F42" s="11" t="s">
        <v>107</v>
      </c>
      <c r="G42" s="11" t="s">
        <v>110</v>
      </c>
      <c r="H42" s="11" t="s">
        <v>70</v>
      </c>
      <c r="I42" s="25">
        <v>1</v>
      </c>
      <c r="J42" s="25">
        <v>0.4</v>
      </c>
      <c r="K42" s="12"/>
      <c r="L42" s="12"/>
      <c r="M42" s="12" t="s">
        <v>71</v>
      </c>
      <c r="N42" s="12" t="s">
        <v>78</v>
      </c>
      <c r="O42" s="12"/>
      <c r="P42" s="14"/>
      <c r="Q42" s="14"/>
      <c r="R42" s="14"/>
      <c r="S42" s="14"/>
      <c r="T42" s="14"/>
      <c r="U42" s="14"/>
      <c r="V42" s="14"/>
      <c r="W42" s="14">
        <v>375</v>
      </c>
      <c r="X42" s="14">
        <v>375</v>
      </c>
      <c r="Y42" s="14">
        <v>375</v>
      </c>
      <c r="Z42" s="14">
        <v>375</v>
      </c>
      <c r="AA42" s="14">
        <v>375</v>
      </c>
      <c r="AB42" s="37">
        <f t="shared" si="54"/>
        <v>1875</v>
      </c>
      <c r="AC42" s="29"/>
      <c r="AD42" s="38">
        <f t="shared" si="86"/>
        <v>0</v>
      </c>
      <c r="AE42" s="38">
        <f t="shared" si="87"/>
        <v>0</v>
      </c>
      <c r="AF42" s="38">
        <f t="shared" si="71"/>
        <v>0</v>
      </c>
      <c r="AG42" s="38">
        <f t="shared" si="72"/>
        <v>0</v>
      </c>
      <c r="AH42" s="38">
        <f t="shared" si="88"/>
        <v>0</v>
      </c>
      <c r="AI42" s="38">
        <f t="shared" si="89"/>
        <v>0</v>
      </c>
      <c r="AJ42" s="38">
        <f t="shared" si="90"/>
        <v>0</v>
      </c>
      <c r="AK42" s="38">
        <f t="shared" si="91"/>
        <v>150</v>
      </c>
      <c r="AL42" s="38">
        <f t="shared" si="92"/>
        <v>150</v>
      </c>
      <c r="AM42" s="38">
        <f t="shared" si="93"/>
        <v>150</v>
      </c>
      <c r="AN42" s="38">
        <f t="shared" si="94"/>
        <v>150</v>
      </c>
      <c r="AO42" s="38">
        <f t="shared" si="95"/>
        <v>150</v>
      </c>
      <c r="AP42" s="39">
        <f t="shared" si="75"/>
        <v>750</v>
      </c>
      <c r="AQ42" s="29"/>
      <c r="AR42" s="15" t="str">
        <f t="shared" si="76"/>
        <v/>
      </c>
      <c r="AS42" s="15" t="str">
        <f t="shared" si="77"/>
        <v/>
      </c>
      <c r="AT42" s="15" t="str">
        <f t="shared" si="78"/>
        <v/>
      </c>
      <c r="AU42" s="15" t="str">
        <f t="shared" si="73"/>
        <v/>
      </c>
      <c r="AV42" s="15" t="str">
        <f t="shared" si="74"/>
        <v/>
      </c>
      <c r="AW42" s="15" t="str">
        <f t="shared" si="79"/>
        <v/>
      </c>
      <c r="AX42" s="15" t="str">
        <f t="shared" si="80"/>
        <v/>
      </c>
      <c r="AY42" s="15">
        <f t="shared" si="81"/>
        <v>0.6</v>
      </c>
      <c r="AZ42" s="15">
        <f t="shared" si="82"/>
        <v>0.6</v>
      </c>
      <c r="BA42" s="15">
        <f t="shared" si="83"/>
        <v>0.6</v>
      </c>
      <c r="BB42" s="15">
        <f t="shared" si="84"/>
        <v>0.6</v>
      </c>
      <c r="BC42" s="15">
        <f t="shared" si="85"/>
        <v>0.6</v>
      </c>
      <c r="BE42" s="14">
        <f t="shared" si="9"/>
        <v>0</v>
      </c>
      <c r="BF42" s="14">
        <f t="shared" si="10"/>
        <v>0</v>
      </c>
      <c r="BG42" s="14">
        <f t="shared" si="11"/>
        <v>0</v>
      </c>
      <c r="BH42" s="14">
        <f t="shared" si="12"/>
        <v>0</v>
      </c>
      <c r="BI42" s="14">
        <f t="shared" si="13"/>
        <v>0</v>
      </c>
      <c r="BJ42" s="14">
        <f t="shared" si="14"/>
        <v>0</v>
      </c>
      <c r="BK42" s="14">
        <f t="shared" si="15"/>
        <v>0</v>
      </c>
      <c r="BL42" s="14">
        <f t="shared" si="16"/>
        <v>375</v>
      </c>
      <c r="BM42" s="14">
        <f t="shared" si="17"/>
        <v>375</v>
      </c>
      <c r="BN42" s="14">
        <f t="shared" si="18"/>
        <v>375</v>
      </c>
      <c r="BO42" s="14">
        <f t="shared" si="19"/>
        <v>375</v>
      </c>
      <c r="BP42" s="14">
        <f t="shared" si="20"/>
        <v>375</v>
      </c>
      <c r="BQ42" s="37">
        <f t="shared" si="67"/>
        <v>1875</v>
      </c>
    </row>
    <row r="43" spans="1:69" s="23" customFormat="1" ht="18" hidden="1" customHeight="1">
      <c r="A43" s="2"/>
      <c r="B43" s="12">
        <v>61</v>
      </c>
      <c r="C43" s="12"/>
      <c r="D43" s="11" t="s">
        <v>137</v>
      </c>
      <c r="E43" s="11"/>
      <c r="F43" s="11"/>
      <c r="G43" s="11"/>
      <c r="H43" s="11" t="s">
        <v>70</v>
      </c>
      <c r="I43" s="25">
        <v>1</v>
      </c>
      <c r="J43" s="24"/>
      <c r="K43" s="12"/>
      <c r="L43" s="12"/>
      <c r="M43" s="12" t="s">
        <v>12</v>
      </c>
      <c r="N43" s="12" t="s">
        <v>12</v>
      </c>
      <c r="O43" s="12"/>
      <c r="P43" s="14"/>
      <c r="Q43" s="14"/>
      <c r="R43" s="14"/>
      <c r="S43" s="14"/>
      <c r="T43" s="14"/>
      <c r="U43" s="14"/>
      <c r="V43" s="14">
        <v>450</v>
      </c>
      <c r="W43" s="14">
        <v>450</v>
      </c>
      <c r="X43" s="14">
        <v>450</v>
      </c>
      <c r="Y43" s="14">
        <v>450</v>
      </c>
      <c r="Z43" s="14">
        <v>450</v>
      </c>
      <c r="AA43" s="14">
        <v>450</v>
      </c>
      <c r="AB43" s="37">
        <f t="shared" si="54"/>
        <v>2700</v>
      </c>
      <c r="AC43" s="29"/>
      <c r="AD43" s="38">
        <f t="shared" si="86"/>
        <v>0</v>
      </c>
      <c r="AE43" s="38">
        <f t="shared" si="87"/>
        <v>0</v>
      </c>
      <c r="AF43" s="38">
        <f t="shared" si="71"/>
        <v>0</v>
      </c>
      <c r="AG43" s="38">
        <f t="shared" si="72"/>
        <v>0</v>
      </c>
      <c r="AH43" s="38">
        <f t="shared" si="88"/>
        <v>0</v>
      </c>
      <c r="AI43" s="38">
        <f t="shared" si="89"/>
        <v>0</v>
      </c>
      <c r="AJ43" s="38">
        <f t="shared" si="90"/>
        <v>0</v>
      </c>
      <c r="AK43" s="38">
        <f t="shared" si="91"/>
        <v>0</v>
      </c>
      <c r="AL43" s="38">
        <f t="shared" si="92"/>
        <v>0</v>
      </c>
      <c r="AM43" s="38">
        <f t="shared" si="93"/>
        <v>0</v>
      </c>
      <c r="AN43" s="38">
        <f t="shared" si="94"/>
        <v>0</v>
      </c>
      <c r="AO43" s="38">
        <f t="shared" si="95"/>
        <v>0</v>
      </c>
      <c r="AP43" s="39">
        <f t="shared" si="75"/>
        <v>0</v>
      </c>
      <c r="AQ43" s="29"/>
      <c r="AR43" s="15" t="str">
        <f t="shared" si="76"/>
        <v/>
      </c>
      <c r="AS43" s="15" t="str">
        <f t="shared" si="77"/>
        <v/>
      </c>
      <c r="AT43" s="15" t="str">
        <f t="shared" si="78"/>
        <v/>
      </c>
      <c r="AU43" s="15" t="str">
        <f t="shared" si="73"/>
        <v/>
      </c>
      <c r="AV43" s="15" t="str">
        <f t="shared" si="74"/>
        <v/>
      </c>
      <c r="AW43" s="15" t="str">
        <f t="shared" si="79"/>
        <v/>
      </c>
      <c r="AX43" s="15">
        <f t="shared" si="80"/>
        <v>1</v>
      </c>
      <c r="AY43" s="15">
        <f t="shared" si="81"/>
        <v>1</v>
      </c>
      <c r="AZ43" s="15">
        <f t="shared" si="82"/>
        <v>1</v>
      </c>
      <c r="BA43" s="15">
        <f t="shared" si="83"/>
        <v>1</v>
      </c>
      <c r="BB43" s="15">
        <f t="shared" si="84"/>
        <v>1</v>
      </c>
      <c r="BC43" s="15">
        <f t="shared" si="85"/>
        <v>1</v>
      </c>
      <c r="BE43" s="14">
        <f t="shared" si="9"/>
        <v>0</v>
      </c>
      <c r="BF43" s="14">
        <f t="shared" si="10"/>
        <v>0</v>
      </c>
      <c r="BG43" s="14">
        <f t="shared" si="11"/>
        <v>0</v>
      </c>
      <c r="BH43" s="14">
        <f t="shared" si="12"/>
        <v>0</v>
      </c>
      <c r="BI43" s="14">
        <f t="shared" si="13"/>
        <v>0</v>
      </c>
      <c r="BJ43" s="14">
        <f t="shared" si="14"/>
        <v>0</v>
      </c>
      <c r="BK43" s="14">
        <f t="shared" si="15"/>
        <v>450</v>
      </c>
      <c r="BL43" s="14">
        <f t="shared" si="16"/>
        <v>450</v>
      </c>
      <c r="BM43" s="14">
        <f t="shared" si="17"/>
        <v>450</v>
      </c>
      <c r="BN43" s="14">
        <f t="shared" si="18"/>
        <v>450</v>
      </c>
      <c r="BO43" s="14">
        <f t="shared" si="19"/>
        <v>450</v>
      </c>
      <c r="BP43" s="14">
        <f t="shared" si="20"/>
        <v>450</v>
      </c>
      <c r="BQ43" s="37">
        <f t="shared" si="67"/>
        <v>2700</v>
      </c>
    </row>
    <row r="44" spans="1:69" s="23" customFormat="1" ht="18" customHeight="1">
      <c r="A44" s="2"/>
      <c r="B44" s="12">
        <v>10</v>
      </c>
      <c r="C44" s="12"/>
      <c r="D44" s="10" t="s">
        <v>138</v>
      </c>
      <c r="E44" s="10" t="s">
        <v>108</v>
      </c>
      <c r="F44" s="11" t="s">
        <v>139</v>
      </c>
      <c r="G44" s="11"/>
      <c r="H44" s="11" t="s">
        <v>75</v>
      </c>
      <c r="I44" s="13">
        <v>1</v>
      </c>
      <c r="J44" s="13">
        <v>0.5</v>
      </c>
      <c r="K44" s="12"/>
      <c r="L44" s="12"/>
      <c r="M44" s="12" t="s">
        <v>72</v>
      </c>
      <c r="N44" s="12" t="s">
        <v>72</v>
      </c>
      <c r="O44" s="12"/>
      <c r="P44" s="14">
        <v>0</v>
      </c>
      <c r="Q44" s="14">
        <v>0</v>
      </c>
      <c r="R44" s="14">
        <v>0</v>
      </c>
      <c r="S44" s="14">
        <v>0</v>
      </c>
      <c r="T44" s="14">
        <v>0</v>
      </c>
      <c r="U44" s="14"/>
      <c r="V44" s="14">
        <v>200</v>
      </c>
      <c r="W44" s="14">
        <v>200</v>
      </c>
      <c r="X44" s="14"/>
      <c r="Y44" s="14"/>
      <c r="Z44" s="14"/>
      <c r="AA44" s="14"/>
      <c r="AB44" s="37">
        <f t="shared" si="54"/>
        <v>400</v>
      </c>
      <c r="AC44" s="29"/>
      <c r="AD44" s="38">
        <f t="shared" si="86"/>
        <v>0</v>
      </c>
      <c r="AE44" s="38">
        <f t="shared" si="87"/>
        <v>0</v>
      </c>
      <c r="AF44" s="38">
        <f t="shared" si="71"/>
        <v>0</v>
      </c>
      <c r="AG44" s="38">
        <f t="shared" si="72"/>
        <v>0</v>
      </c>
      <c r="AH44" s="38">
        <f t="shared" si="88"/>
        <v>0</v>
      </c>
      <c r="AI44" s="38">
        <f t="shared" si="89"/>
        <v>0</v>
      </c>
      <c r="AJ44" s="38">
        <f t="shared" si="90"/>
        <v>100</v>
      </c>
      <c r="AK44" s="38">
        <f t="shared" si="91"/>
        <v>100</v>
      </c>
      <c r="AL44" s="38">
        <f t="shared" si="92"/>
        <v>0</v>
      </c>
      <c r="AM44" s="38">
        <f t="shared" si="93"/>
        <v>0</v>
      </c>
      <c r="AN44" s="38">
        <f t="shared" si="94"/>
        <v>0</v>
      </c>
      <c r="AO44" s="38">
        <f t="shared" si="95"/>
        <v>0</v>
      </c>
      <c r="AP44" s="39">
        <f t="shared" si="75"/>
        <v>200</v>
      </c>
      <c r="AQ44" s="29"/>
      <c r="AR44" s="15" t="str">
        <f t="shared" si="76"/>
        <v/>
      </c>
      <c r="AS44" s="15" t="str">
        <f t="shared" si="77"/>
        <v/>
      </c>
      <c r="AT44" s="15" t="str">
        <f t="shared" si="78"/>
        <v/>
      </c>
      <c r="AU44" s="15" t="str">
        <f t="shared" si="73"/>
        <v/>
      </c>
      <c r="AV44" s="15" t="str">
        <f t="shared" si="74"/>
        <v/>
      </c>
      <c r="AW44" s="15" t="str">
        <f t="shared" si="79"/>
        <v/>
      </c>
      <c r="AX44" s="15">
        <f t="shared" si="80"/>
        <v>0.5</v>
      </c>
      <c r="AY44" s="15">
        <f t="shared" si="81"/>
        <v>0.5</v>
      </c>
      <c r="AZ44" s="15" t="str">
        <f t="shared" si="82"/>
        <v/>
      </c>
      <c r="BA44" s="15" t="str">
        <f t="shared" si="83"/>
        <v/>
      </c>
      <c r="BB44" s="15" t="str">
        <f t="shared" si="84"/>
        <v/>
      </c>
      <c r="BC44" s="15" t="str">
        <f t="shared" si="85"/>
        <v/>
      </c>
      <c r="BE44" s="14">
        <f t="shared" si="9"/>
        <v>0</v>
      </c>
      <c r="BF44" s="14">
        <f t="shared" si="10"/>
        <v>0</v>
      </c>
      <c r="BG44" s="14">
        <f t="shared" si="11"/>
        <v>0</v>
      </c>
      <c r="BH44" s="14">
        <f t="shared" si="12"/>
        <v>0</v>
      </c>
      <c r="BI44" s="14">
        <f t="shared" si="13"/>
        <v>0</v>
      </c>
      <c r="BJ44" s="14">
        <f t="shared" si="14"/>
        <v>0</v>
      </c>
      <c r="BK44" s="14">
        <f t="shared" si="15"/>
        <v>200</v>
      </c>
      <c r="BL44" s="14">
        <f t="shared" si="16"/>
        <v>200</v>
      </c>
      <c r="BM44" s="14">
        <f t="shared" si="17"/>
        <v>0</v>
      </c>
      <c r="BN44" s="14">
        <f t="shared" si="18"/>
        <v>0</v>
      </c>
      <c r="BO44" s="14">
        <f t="shared" si="19"/>
        <v>0</v>
      </c>
      <c r="BP44" s="14">
        <f t="shared" si="20"/>
        <v>0</v>
      </c>
      <c r="BQ44" s="37">
        <f t="shared" si="67"/>
        <v>400</v>
      </c>
    </row>
    <row r="45" spans="1:69" s="23" customFormat="1" ht="18" hidden="1" customHeight="1">
      <c r="A45" s="2"/>
      <c r="B45" s="12">
        <v>36</v>
      </c>
      <c r="C45" s="12"/>
      <c r="D45" s="11" t="s">
        <v>140</v>
      </c>
      <c r="E45" s="10" t="s">
        <v>67</v>
      </c>
      <c r="F45" s="11" t="s">
        <v>107</v>
      </c>
      <c r="G45" s="11" t="s">
        <v>141</v>
      </c>
      <c r="H45" s="11" t="s">
        <v>70</v>
      </c>
      <c r="I45" s="13">
        <v>1</v>
      </c>
      <c r="J45" s="13">
        <v>0.5</v>
      </c>
      <c r="K45" s="12"/>
      <c r="L45" s="12"/>
      <c r="M45" s="12" t="s">
        <v>76</v>
      </c>
      <c r="N45" s="12" t="s">
        <v>116</v>
      </c>
      <c r="O45" s="12"/>
      <c r="P45" s="14">
        <v>720</v>
      </c>
      <c r="Q45" s="14">
        <v>0</v>
      </c>
      <c r="R45" s="14">
        <v>0</v>
      </c>
      <c r="S45" s="14">
        <v>0</v>
      </c>
      <c r="T45" s="14">
        <v>0</v>
      </c>
      <c r="U45" s="14">
        <v>0</v>
      </c>
      <c r="V45" s="14">
        <v>0</v>
      </c>
      <c r="W45" s="14">
        <v>0</v>
      </c>
      <c r="X45" s="14">
        <v>0</v>
      </c>
      <c r="Y45" s="14">
        <v>0</v>
      </c>
      <c r="Z45" s="14">
        <v>0</v>
      </c>
      <c r="AA45" s="14">
        <v>0</v>
      </c>
      <c r="AB45" s="37">
        <f t="shared" si="54"/>
        <v>720</v>
      </c>
      <c r="AC45" s="29"/>
      <c r="AD45" s="38">
        <f t="shared" si="86"/>
        <v>360</v>
      </c>
      <c r="AE45" s="38">
        <f t="shared" si="87"/>
        <v>0</v>
      </c>
      <c r="AF45" s="38">
        <f t="shared" si="71"/>
        <v>0</v>
      </c>
      <c r="AG45" s="38">
        <f t="shared" si="72"/>
        <v>0</v>
      </c>
      <c r="AH45" s="38">
        <f t="shared" si="88"/>
        <v>0</v>
      </c>
      <c r="AI45" s="38">
        <f t="shared" si="89"/>
        <v>0</v>
      </c>
      <c r="AJ45" s="38">
        <f t="shared" si="90"/>
        <v>0</v>
      </c>
      <c r="AK45" s="38">
        <f t="shared" si="91"/>
        <v>0</v>
      </c>
      <c r="AL45" s="38">
        <f t="shared" si="92"/>
        <v>0</v>
      </c>
      <c r="AM45" s="38">
        <f t="shared" si="93"/>
        <v>0</v>
      </c>
      <c r="AN45" s="38">
        <f t="shared" si="94"/>
        <v>0</v>
      </c>
      <c r="AO45" s="38">
        <f t="shared" si="95"/>
        <v>0</v>
      </c>
      <c r="AP45" s="39">
        <f t="shared" si="75"/>
        <v>360</v>
      </c>
      <c r="AQ45" s="29"/>
      <c r="AR45" s="15">
        <f t="shared" si="76"/>
        <v>0.5</v>
      </c>
      <c r="AS45" s="15" t="str">
        <f t="shared" si="77"/>
        <v/>
      </c>
      <c r="AT45" s="15" t="str">
        <f t="shared" si="78"/>
        <v/>
      </c>
      <c r="AU45" s="15" t="str">
        <f t="shared" si="73"/>
        <v/>
      </c>
      <c r="AV45" s="15" t="str">
        <f t="shared" si="74"/>
        <v/>
      </c>
      <c r="AW45" s="15" t="str">
        <f t="shared" si="79"/>
        <v/>
      </c>
      <c r="AX45" s="15" t="str">
        <f t="shared" si="80"/>
        <v/>
      </c>
      <c r="AY45" s="15" t="str">
        <f t="shared" si="81"/>
        <v/>
      </c>
      <c r="AZ45" s="15" t="str">
        <f t="shared" si="82"/>
        <v/>
      </c>
      <c r="BA45" s="15" t="str">
        <f t="shared" si="83"/>
        <v/>
      </c>
      <c r="BB45" s="15" t="str">
        <f t="shared" si="84"/>
        <v/>
      </c>
      <c r="BC45" s="15" t="str">
        <f t="shared" si="85"/>
        <v/>
      </c>
      <c r="BE45" s="14">
        <f t="shared" si="9"/>
        <v>720</v>
      </c>
      <c r="BF45" s="14">
        <f t="shared" si="10"/>
        <v>0</v>
      </c>
      <c r="BG45" s="14">
        <f t="shared" si="11"/>
        <v>0</v>
      </c>
      <c r="BH45" s="14">
        <f t="shared" si="12"/>
        <v>0</v>
      </c>
      <c r="BI45" s="14">
        <f t="shared" si="13"/>
        <v>0</v>
      </c>
      <c r="BJ45" s="14">
        <f t="shared" si="14"/>
        <v>0</v>
      </c>
      <c r="BK45" s="14">
        <f t="shared" si="15"/>
        <v>0</v>
      </c>
      <c r="BL45" s="14">
        <f t="shared" si="16"/>
        <v>0</v>
      </c>
      <c r="BM45" s="14">
        <f t="shared" si="17"/>
        <v>0</v>
      </c>
      <c r="BN45" s="14">
        <f t="shared" si="18"/>
        <v>0</v>
      </c>
      <c r="BO45" s="14">
        <f t="shared" si="19"/>
        <v>0</v>
      </c>
      <c r="BP45" s="14">
        <f t="shared" si="20"/>
        <v>0</v>
      </c>
      <c r="BQ45" s="37">
        <f t="shared" si="67"/>
        <v>720</v>
      </c>
    </row>
    <row r="46" spans="1:69" ht="18" hidden="1" customHeight="1">
      <c r="B46" s="12">
        <v>37</v>
      </c>
      <c r="C46" s="12"/>
      <c r="D46" s="11" t="s">
        <v>140</v>
      </c>
      <c r="E46" s="10" t="s">
        <v>67</v>
      </c>
      <c r="F46" s="11" t="s">
        <v>142</v>
      </c>
      <c r="G46" s="11" t="s">
        <v>141</v>
      </c>
      <c r="H46" s="11" t="s">
        <v>70</v>
      </c>
      <c r="I46" s="13">
        <v>1</v>
      </c>
      <c r="J46" s="13">
        <v>0.5</v>
      </c>
      <c r="K46" s="12"/>
      <c r="L46" s="12"/>
      <c r="M46" s="12" t="s">
        <v>76</v>
      </c>
      <c r="N46" s="12" t="s">
        <v>72</v>
      </c>
      <c r="O46" s="12"/>
      <c r="P46" s="14">
        <v>360</v>
      </c>
      <c r="Q46" s="14">
        <v>0</v>
      </c>
      <c r="R46" s="14">
        <v>0</v>
      </c>
      <c r="S46" s="14">
        <v>0</v>
      </c>
      <c r="T46" s="14">
        <v>0</v>
      </c>
      <c r="U46" s="14">
        <v>0</v>
      </c>
      <c r="V46" s="14">
        <v>0</v>
      </c>
      <c r="W46" s="14">
        <v>0</v>
      </c>
      <c r="X46" s="14">
        <v>0</v>
      </c>
      <c r="Y46" s="14">
        <v>0</v>
      </c>
      <c r="Z46" s="14">
        <v>0</v>
      </c>
      <c r="AA46" s="14">
        <v>0</v>
      </c>
      <c r="AB46" s="37">
        <f t="shared" si="54"/>
        <v>360</v>
      </c>
      <c r="AC46" s="29"/>
      <c r="AD46" s="38">
        <f t="shared" si="86"/>
        <v>180</v>
      </c>
      <c r="AE46" s="38">
        <f t="shared" si="87"/>
        <v>0</v>
      </c>
      <c r="AF46" s="38">
        <f t="shared" si="71"/>
        <v>0</v>
      </c>
      <c r="AG46" s="38">
        <f t="shared" si="72"/>
        <v>0</v>
      </c>
      <c r="AH46" s="38">
        <f t="shared" si="88"/>
        <v>0</v>
      </c>
      <c r="AI46" s="38">
        <f t="shared" si="89"/>
        <v>0</v>
      </c>
      <c r="AJ46" s="38">
        <f t="shared" si="90"/>
        <v>0</v>
      </c>
      <c r="AK46" s="38">
        <f t="shared" si="91"/>
        <v>0</v>
      </c>
      <c r="AL46" s="38">
        <f t="shared" si="92"/>
        <v>0</v>
      </c>
      <c r="AM46" s="38">
        <f t="shared" si="93"/>
        <v>0</v>
      </c>
      <c r="AN46" s="38">
        <f t="shared" si="94"/>
        <v>0</v>
      </c>
      <c r="AO46" s="38">
        <f t="shared" si="95"/>
        <v>0</v>
      </c>
      <c r="AP46" s="39">
        <f t="shared" si="75"/>
        <v>180</v>
      </c>
      <c r="AQ46" s="29"/>
      <c r="AR46" s="15">
        <f t="shared" si="76"/>
        <v>0.5</v>
      </c>
      <c r="AS46" s="15" t="str">
        <f t="shared" si="77"/>
        <v/>
      </c>
      <c r="AT46" s="15" t="str">
        <f t="shared" si="78"/>
        <v/>
      </c>
      <c r="AU46" s="15" t="str">
        <f t="shared" si="73"/>
        <v/>
      </c>
      <c r="AV46" s="15" t="str">
        <f t="shared" si="74"/>
        <v/>
      </c>
      <c r="AW46" s="15" t="str">
        <f t="shared" si="79"/>
        <v/>
      </c>
      <c r="AX46" s="15" t="str">
        <f t="shared" si="80"/>
        <v/>
      </c>
      <c r="AY46" s="15" t="str">
        <f t="shared" si="81"/>
        <v/>
      </c>
      <c r="AZ46" s="15" t="str">
        <f t="shared" si="82"/>
        <v/>
      </c>
      <c r="BA46" s="15" t="str">
        <f t="shared" si="83"/>
        <v/>
      </c>
      <c r="BB46" s="15" t="str">
        <f t="shared" si="84"/>
        <v/>
      </c>
      <c r="BC46" s="15" t="str">
        <f t="shared" si="85"/>
        <v/>
      </c>
      <c r="BE46" s="14">
        <f t="shared" si="9"/>
        <v>360</v>
      </c>
      <c r="BF46" s="14">
        <f t="shared" si="10"/>
        <v>0</v>
      </c>
      <c r="BG46" s="14">
        <f t="shared" si="11"/>
        <v>0</v>
      </c>
      <c r="BH46" s="14">
        <f t="shared" si="12"/>
        <v>0</v>
      </c>
      <c r="BI46" s="14">
        <f t="shared" si="13"/>
        <v>0</v>
      </c>
      <c r="BJ46" s="14">
        <f t="shared" si="14"/>
        <v>0</v>
      </c>
      <c r="BK46" s="14">
        <f t="shared" si="15"/>
        <v>0</v>
      </c>
      <c r="BL46" s="14">
        <f t="shared" si="16"/>
        <v>0</v>
      </c>
      <c r="BM46" s="14">
        <f t="shared" si="17"/>
        <v>0</v>
      </c>
      <c r="BN46" s="14">
        <f t="shared" si="18"/>
        <v>0</v>
      </c>
      <c r="BO46" s="14">
        <f t="shared" si="19"/>
        <v>0</v>
      </c>
      <c r="BP46" s="14">
        <f t="shared" si="20"/>
        <v>0</v>
      </c>
      <c r="BQ46" s="37">
        <f t="shared" si="67"/>
        <v>360</v>
      </c>
    </row>
    <row r="47" spans="1:69" ht="18" hidden="1" customHeight="1">
      <c r="B47" s="12">
        <v>26</v>
      </c>
      <c r="C47" s="12"/>
      <c r="D47" s="11" t="s">
        <v>143</v>
      </c>
      <c r="E47" s="10" t="s">
        <v>67</v>
      </c>
      <c r="F47" s="11" t="s">
        <v>144</v>
      </c>
      <c r="G47" s="11" t="s">
        <v>115</v>
      </c>
      <c r="H47" s="11" t="s">
        <v>70</v>
      </c>
      <c r="I47" s="25">
        <v>1</v>
      </c>
      <c r="J47" s="13">
        <v>0.6</v>
      </c>
      <c r="K47" s="12"/>
      <c r="L47" s="12"/>
      <c r="M47" s="12" t="s">
        <v>76</v>
      </c>
      <c r="N47" s="12" t="s">
        <v>145</v>
      </c>
      <c r="O47" s="12"/>
      <c r="P47" s="14">
        <v>200</v>
      </c>
      <c r="Q47" s="14">
        <v>200</v>
      </c>
      <c r="R47" s="14">
        <v>200</v>
      </c>
      <c r="S47" s="14">
        <v>200</v>
      </c>
      <c r="T47" s="14">
        <v>200</v>
      </c>
      <c r="U47" s="14">
        <v>200</v>
      </c>
      <c r="V47" s="14">
        <v>200</v>
      </c>
      <c r="W47" s="14">
        <v>200</v>
      </c>
      <c r="X47" s="14">
        <v>200</v>
      </c>
      <c r="Y47" s="14">
        <v>200</v>
      </c>
      <c r="Z47" s="14">
        <v>200</v>
      </c>
      <c r="AA47" s="14">
        <v>200</v>
      </c>
      <c r="AB47" s="37">
        <f t="shared" si="54"/>
        <v>2400</v>
      </c>
      <c r="AC47" s="29"/>
      <c r="AD47" s="38">
        <f t="shared" si="86"/>
        <v>120</v>
      </c>
      <c r="AE47" s="38">
        <f t="shared" si="87"/>
        <v>120</v>
      </c>
      <c r="AF47" s="38">
        <f t="shared" si="71"/>
        <v>120</v>
      </c>
      <c r="AG47" s="38">
        <f t="shared" si="72"/>
        <v>120</v>
      </c>
      <c r="AH47" s="38">
        <f t="shared" si="88"/>
        <v>120</v>
      </c>
      <c r="AI47" s="38">
        <f t="shared" si="89"/>
        <v>120</v>
      </c>
      <c r="AJ47" s="38">
        <f t="shared" si="90"/>
        <v>120</v>
      </c>
      <c r="AK47" s="38">
        <f t="shared" si="91"/>
        <v>120</v>
      </c>
      <c r="AL47" s="38">
        <f t="shared" si="92"/>
        <v>120</v>
      </c>
      <c r="AM47" s="38">
        <f t="shared" si="93"/>
        <v>120</v>
      </c>
      <c r="AN47" s="38">
        <f t="shared" si="94"/>
        <v>120</v>
      </c>
      <c r="AO47" s="38">
        <f t="shared" si="95"/>
        <v>120</v>
      </c>
      <c r="AP47" s="39">
        <f t="shared" si="75"/>
        <v>1440</v>
      </c>
      <c r="AQ47" s="29"/>
      <c r="AR47" s="15">
        <f t="shared" si="76"/>
        <v>0.4</v>
      </c>
      <c r="AS47" s="15">
        <f t="shared" si="77"/>
        <v>0.4</v>
      </c>
      <c r="AT47" s="15">
        <f t="shared" si="78"/>
        <v>0.4</v>
      </c>
      <c r="AU47" s="15">
        <f t="shared" si="73"/>
        <v>0.4</v>
      </c>
      <c r="AV47" s="15">
        <f t="shared" si="74"/>
        <v>0.4</v>
      </c>
      <c r="AW47" s="15">
        <f t="shared" si="79"/>
        <v>0.4</v>
      </c>
      <c r="AX47" s="15">
        <f t="shared" si="80"/>
        <v>0.4</v>
      </c>
      <c r="AY47" s="15">
        <f t="shared" si="81"/>
        <v>0.4</v>
      </c>
      <c r="AZ47" s="15">
        <f t="shared" si="82"/>
        <v>0.4</v>
      </c>
      <c r="BA47" s="15">
        <f t="shared" si="83"/>
        <v>0.4</v>
      </c>
      <c r="BB47" s="15">
        <f t="shared" si="84"/>
        <v>0.4</v>
      </c>
      <c r="BC47" s="15">
        <f t="shared" si="85"/>
        <v>0.4</v>
      </c>
      <c r="BE47" s="14">
        <f t="shared" si="9"/>
        <v>200</v>
      </c>
      <c r="BF47" s="14">
        <f t="shared" si="10"/>
        <v>200</v>
      </c>
      <c r="BG47" s="14">
        <f t="shared" si="11"/>
        <v>200</v>
      </c>
      <c r="BH47" s="14">
        <f t="shared" si="12"/>
        <v>200</v>
      </c>
      <c r="BI47" s="14">
        <f t="shared" si="13"/>
        <v>200</v>
      </c>
      <c r="BJ47" s="14">
        <f t="shared" si="14"/>
        <v>200</v>
      </c>
      <c r="BK47" s="14">
        <f t="shared" si="15"/>
        <v>200</v>
      </c>
      <c r="BL47" s="14">
        <f t="shared" si="16"/>
        <v>200</v>
      </c>
      <c r="BM47" s="14">
        <f t="shared" si="17"/>
        <v>200</v>
      </c>
      <c r="BN47" s="14">
        <f t="shared" si="18"/>
        <v>200</v>
      </c>
      <c r="BO47" s="14">
        <f t="shared" si="19"/>
        <v>200</v>
      </c>
      <c r="BP47" s="14">
        <f t="shared" si="20"/>
        <v>200</v>
      </c>
      <c r="BQ47" s="37">
        <f t="shared" si="67"/>
        <v>2400</v>
      </c>
    </row>
    <row r="48" spans="1:69" ht="18" hidden="1" customHeight="1">
      <c r="B48" s="12">
        <v>27</v>
      </c>
      <c r="C48" s="12"/>
      <c r="D48" s="11" t="s">
        <v>143</v>
      </c>
      <c r="E48" s="10" t="s">
        <v>67</v>
      </c>
      <c r="F48" s="11" t="s">
        <v>146</v>
      </c>
      <c r="G48" s="11" t="s">
        <v>115</v>
      </c>
      <c r="H48" s="11" t="s">
        <v>70</v>
      </c>
      <c r="I48" s="25">
        <v>1</v>
      </c>
      <c r="J48" s="13">
        <v>0.6</v>
      </c>
      <c r="K48" s="12"/>
      <c r="L48" s="12"/>
      <c r="M48" s="12" t="s">
        <v>76</v>
      </c>
      <c r="N48" s="12" t="s">
        <v>145</v>
      </c>
      <c r="O48" s="12"/>
      <c r="P48" s="14">
        <v>200</v>
      </c>
      <c r="Q48" s="14">
        <v>200</v>
      </c>
      <c r="R48" s="14">
        <v>200</v>
      </c>
      <c r="S48" s="14">
        <v>200</v>
      </c>
      <c r="T48" s="14">
        <v>200</v>
      </c>
      <c r="U48" s="14">
        <v>200</v>
      </c>
      <c r="V48" s="14">
        <v>200</v>
      </c>
      <c r="W48" s="14">
        <v>200</v>
      </c>
      <c r="X48" s="14">
        <v>200</v>
      </c>
      <c r="Y48" s="14">
        <v>200</v>
      </c>
      <c r="Z48" s="14">
        <v>200</v>
      </c>
      <c r="AA48" s="14">
        <v>200</v>
      </c>
      <c r="AB48" s="37">
        <f t="shared" si="54"/>
        <v>2400</v>
      </c>
      <c r="AC48" s="29"/>
      <c r="AD48" s="38">
        <f t="shared" si="86"/>
        <v>120</v>
      </c>
      <c r="AE48" s="38">
        <f t="shared" si="87"/>
        <v>120</v>
      </c>
      <c r="AF48" s="38">
        <f t="shared" si="71"/>
        <v>120</v>
      </c>
      <c r="AG48" s="38">
        <f t="shared" si="72"/>
        <v>120</v>
      </c>
      <c r="AH48" s="38">
        <f t="shared" si="88"/>
        <v>120</v>
      </c>
      <c r="AI48" s="38">
        <f t="shared" si="89"/>
        <v>120</v>
      </c>
      <c r="AJ48" s="38">
        <f t="shared" si="90"/>
        <v>120</v>
      </c>
      <c r="AK48" s="38">
        <f t="shared" si="91"/>
        <v>120</v>
      </c>
      <c r="AL48" s="38">
        <f t="shared" si="92"/>
        <v>120</v>
      </c>
      <c r="AM48" s="38">
        <f t="shared" si="93"/>
        <v>120</v>
      </c>
      <c r="AN48" s="38">
        <f t="shared" si="94"/>
        <v>120</v>
      </c>
      <c r="AO48" s="38">
        <f t="shared" si="95"/>
        <v>120</v>
      </c>
      <c r="AP48" s="39">
        <f t="shared" si="75"/>
        <v>1440</v>
      </c>
      <c r="AQ48" s="29"/>
      <c r="AR48" s="15">
        <f t="shared" si="76"/>
        <v>0.4</v>
      </c>
      <c r="AS48" s="15">
        <f t="shared" si="77"/>
        <v>0.4</v>
      </c>
      <c r="AT48" s="15">
        <f t="shared" si="78"/>
        <v>0.4</v>
      </c>
      <c r="AU48" s="15">
        <f t="shared" si="73"/>
        <v>0.4</v>
      </c>
      <c r="AV48" s="15">
        <f t="shared" si="74"/>
        <v>0.4</v>
      </c>
      <c r="AW48" s="15">
        <f t="shared" si="79"/>
        <v>0.4</v>
      </c>
      <c r="AX48" s="15">
        <f t="shared" si="80"/>
        <v>0.4</v>
      </c>
      <c r="AY48" s="15">
        <f t="shared" si="81"/>
        <v>0.4</v>
      </c>
      <c r="AZ48" s="15">
        <f t="shared" si="82"/>
        <v>0.4</v>
      </c>
      <c r="BA48" s="15">
        <f t="shared" si="83"/>
        <v>0.4</v>
      </c>
      <c r="BB48" s="15">
        <f t="shared" si="84"/>
        <v>0.4</v>
      </c>
      <c r="BC48" s="15">
        <f t="shared" si="85"/>
        <v>0.4</v>
      </c>
      <c r="BE48" s="14">
        <f t="shared" si="9"/>
        <v>200</v>
      </c>
      <c r="BF48" s="14">
        <f t="shared" si="10"/>
        <v>200</v>
      </c>
      <c r="BG48" s="14">
        <f t="shared" si="11"/>
        <v>200</v>
      </c>
      <c r="BH48" s="14">
        <f t="shared" si="12"/>
        <v>200</v>
      </c>
      <c r="BI48" s="14">
        <f t="shared" si="13"/>
        <v>200</v>
      </c>
      <c r="BJ48" s="14">
        <f t="shared" si="14"/>
        <v>200</v>
      </c>
      <c r="BK48" s="14">
        <f t="shared" si="15"/>
        <v>200</v>
      </c>
      <c r="BL48" s="14">
        <f t="shared" si="16"/>
        <v>200</v>
      </c>
      <c r="BM48" s="14">
        <f t="shared" si="17"/>
        <v>200</v>
      </c>
      <c r="BN48" s="14">
        <f t="shared" si="18"/>
        <v>200</v>
      </c>
      <c r="BO48" s="14">
        <f t="shared" si="19"/>
        <v>200</v>
      </c>
      <c r="BP48" s="14">
        <f t="shared" si="20"/>
        <v>200</v>
      </c>
      <c r="BQ48" s="37">
        <f t="shared" si="67"/>
        <v>2400</v>
      </c>
    </row>
    <row r="49" spans="2:69" ht="18" customHeight="1">
      <c r="B49" s="12">
        <v>44</v>
      </c>
      <c r="C49" s="12"/>
      <c r="D49" s="11" t="s">
        <v>147</v>
      </c>
      <c r="E49" s="10" t="s">
        <v>120</v>
      </c>
      <c r="F49" s="11" t="s">
        <v>131</v>
      </c>
      <c r="G49" s="11" t="s">
        <v>80</v>
      </c>
      <c r="H49" s="11" t="s">
        <v>75</v>
      </c>
      <c r="I49" s="13">
        <v>0.5</v>
      </c>
      <c r="J49" s="13">
        <v>0.5</v>
      </c>
      <c r="K49" s="12"/>
      <c r="L49" s="12"/>
      <c r="M49" s="12" t="s">
        <v>71</v>
      </c>
      <c r="N49" s="12"/>
      <c r="O49" s="12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37">
        <f t="shared" si="54"/>
        <v>0</v>
      </c>
      <c r="AC49" s="29"/>
      <c r="AD49" s="38">
        <f t="shared" si="86"/>
        <v>0</v>
      </c>
      <c r="AE49" s="38">
        <f t="shared" si="87"/>
        <v>0</v>
      </c>
      <c r="AF49" s="38">
        <f t="shared" si="71"/>
        <v>0</v>
      </c>
      <c r="AG49" s="38">
        <f t="shared" si="72"/>
        <v>0</v>
      </c>
      <c r="AH49" s="38">
        <f t="shared" si="88"/>
        <v>0</v>
      </c>
      <c r="AI49" s="38">
        <f t="shared" si="89"/>
        <v>0</v>
      </c>
      <c r="AJ49" s="38">
        <f t="shared" si="90"/>
        <v>0</v>
      </c>
      <c r="AK49" s="38">
        <f t="shared" si="91"/>
        <v>0</v>
      </c>
      <c r="AL49" s="38">
        <f t="shared" si="92"/>
        <v>0</v>
      </c>
      <c r="AM49" s="38">
        <f t="shared" si="93"/>
        <v>0</v>
      </c>
      <c r="AN49" s="38">
        <f t="shared" si="94"/>
        <v>0</v>
      </c>
      <c r="AO49" s="38">
        <f t="shared" si="95"/>
        <v>0</v>
      </c>
      <c r="AP49" s="39">
        <f t="shared" si="75"/>
        <v>0</v>
      </c>
      <c r="AQ49" s="29"/>
      <c r="AR49" s="15" t="str">
        <f t="shared" si="76"/>
        <v/>
      </c>
      <c r="AS49" s="15" t="str">
        <f t="shared" si="77"/>
        <v/>
      </c>
      <c r="AT49" s="15" t="str">
        <f t="shared" si="78"/>
        <v/>
      </c>
      <c r="AU49" s="15" t="str">
        <f t="shared" si="73"/>
        <v/>
      </c>
      <c r="AV49" s="15" t="str">
        <f t="shared" si="74"/>
        <v/>
      </c>
      <c r="AW49" s="15" t="str">
        <f t="shared" si="79"/>
        <v/>
      </c>
      <c r="AX49" s="15" t="str">
        <f t="shared" si="80"/>
        <v/>
      </c>
      <c r="AY49" s="15" t="str">
        <f t="shared" si="81"/>
        <v/>
      </c>
      <c r="AZ49" s="15" t="str">
        <f t="shared" si="82"/>
        <v/>
      </c>
      <c r="BA49" s="15" t="str">
        <f t="shared" si="83"/>
        <v/>
      </c>
      <c r="BB49" s="15" t="str">
        <f t="shared" si="84"/>
        <v/>
      </c>
      <c r="BC49" s="15" t="str">
        <f t="shared" si="85"/>
        <v/>
      </c>
      <c r="BE49" s="14">
        <f t="shared" si="9"/>
        <v>0</v>
      </c>
      <c r="BF49" s="14">
        <f t="shared" si="10"/>
        <v>0</v>
      </c>
      <c r="BG49" s="14">
        <f t="shared" si="11"/>
        <v>0</v>
      </c>
      <c r="BH49" s="14">
        <f t="shared" si="12"/>
        <v>0</v>
      </c>
      <c r="BI49" s="14">
        <f t="shared" si="13"/>
        <v>0</v>
      </c>
      <c r="BJ49" s="14">
        <f t="shared" si="14"/>
        <v>0</v>
      </c>
      <c r="BK49" s="14">
        <f t="shared" si="15"/>
        <v>0</v>
      </c>
      <c r="BL49" s="14">
        <f t="shared" si="16"/>
        <v>0</v>
      </c>
      <c r="BM49" s="14">
        <f t="shared" si="17"/>
        <v>0</v>
      </c>
      <c r="BN49" s="14">
        <f t="shared" si="18"/>
        <v>0</v>
      </c>
      <c r="BO49" s="14">
        <f t="shared" si="19"/>
        <v>0</v>
      </c>
      <c r="BP49" s="14">
        <f t="shared" si="20"/>
        <v>0</v>
      </c>
      <c r="BQ49" s="37">
        <f t="shared" si="67"/>
        <v>0</v>
      </c>
    </row>
    <row r="50" spans="2:69" ht="18" hidden="1" customHeight="1">
      <c r="B50" s="12">
        <v>24</v>
      </c>
      <c r="C50" s="12"/>
      <c r="D50" s="11" t="s">
        <v>148</v>
      </c>
      <c r="E50" s="10" t="s">
        <v>67</v>
      </c>
      <c r="F50" s="11" t="s">
        <v>149</v>
      </c>
      <c r="G50" s="11" t="s">
        <v>150</v>
      </c>
      <c r="H50" s="11" t="s">
        <v>70</v>
      </c>
      <c r="I50" s="25">
        <v>1</v>
      </c>
      <c r="J50" s="13">
        <v>0.6</v>
      </c>
      <c r="K50" s="12"/>
      <c r="L50" s="12"/>
      <c r="M50" s="12" t="s">
        <v>76</v>
      </c>
      <c r="N50" s="12" t="s">
        <v>128</v>
      </c>
      <c r="O50" s="12"/>
      <c r="P50" s="14">
        <v>300</v>
      </c>
      <c r="Q50" s="14">
        <v>300</v>
      </c>
      <c r="R50" s="14">
        <v>300</v>
      </c>
      <c r="S50" s="14">
        <v>300</v>
      </c>
      <c r="T50" s="14">
        <v>300</v>
      </c>
      <c r="U50" s="14">
        <v>300</v>
      </c>
      <c r="V50" s="14">
        <v>300</v>
      </c>
      <c r="W50" s="14">
        <v>300</v>
      </c>
      <c r="X50" s="14">
        <v>300</v>
      </c>
      <c r="Y50" s="14">
        <v>300</v>
      </c>
      <c r="Z50" s="14">
        <v>300</v>
      </c>
      <c r="AA50" s="14">
        <v>300</v>
      </c>
      <c r="AB50" s="37">
        <f t="shared" si="54"/>
        <v>3600</v>
      </c>
      <c r="AC50" s="29"/>
      <c r="AD50" s="38">
        <f t="shared" si="86"/>
        <v>180</v>
      </c>
      <c r="AE50" s="38">
        <f t="shared" si="87"/>
        <v>180</v>
      </c>
      <c r="AF50" s="38">
        <f t="shared" si="71"/>
        <v>180</v>
      </c>
      <c r="AG50" s="38">
        <f t="shared" si="72"/>
        <v>180</v>
      </c>
      <c r="AH50" s="38">
        <f t="shared" si="88"/>
        <v>180</v>
      </c>
      <c r="AI50" s="38">
        <f t="shared" si="89"/>
        <v>180</v>
      </c>
      <c r="AJ50" s="38">
        <f t="shared" si="90"/>
        <v>180</v>
      </c>
      <c r="AK50" s="38">
        <f t="shared" si="91"/>
        <v>180</v>
      </c>
      <c r="AL50" s="38">
        <f t="shared" si="92"/>
        <v>180</v>
      </c>
      <c r="AM50" s="38">
        <f t="shared" si="93"/>
        <v>180</v>
      </c>
      <c r="AN50" s="38">
        <f t="shared" si="94"/>
        <v>180</v>
      </c>
      <c r="AO50" s="38">
        <f t="shared" si="95"/>
        <v>180</v>
      </c>
      <c r="AP50" s="39">
        <f t="shared" si="75"/>
        <v>2160</v>
      </c>
      <c r="AQ50" s="29"/>
      <c r="AR50" s="15">
        <f t="shared" si="76"/>
        <v>0.4</v>
      </c>
      <c r="AS50" s="15">
        <f t="shared" si="77"/>
        <v>0.4</v>
      </c>
      <c r="AT50" s="15">
        <f t="shared" si="78"/>
        <v>0.4</v>
      </c>
      <c r="AU50" s="15">
        <f t="shared" si="73"/>
        <v>0.4</v>
      </c>
      <c r="AV50" s="15">
        <f t="shared" si="74"/>
        <v>0.4</v>
      </c>
      <c r="AW50" s="15">
        <f t="shared" si="79"/>
        <v>0.4</v>
      </c>
      <c r="AX50" s="15">
        <f t="shared" si="80"/>
        <v>0.4</v>
      </c>
      <c r="AY50" s="15">
        <f t="shared" si="81"/>
        <v>0.4</v>
      </c>
      <c r="AZ50" s="15">
        <f t="shared" si="82"/>
        <v>0.4</v>
      </c>
      <c r="BA50" s="15">
        <f t="shared" si="83"/>
        <v>0.4</v>
      </c>
      <c r="BB50" s="15">
        <f t="shared" si="84"/>
        <v>0.4</v>
      </c>
      <c r="BC50" s="15">
        <f t="shared" si="85"/>
        <v>0.4</v>
      </c>
      <c r="BE50" s="14">
        <f t="shared" si="9"/>
        <v>300</v>
      </c>
      <c r="BF50" s="14">
        <f t="shared" si="10"/>
        <v>300</v>
      </c>
      <c r="BG50" s="14">
        <f t="shared" si="11"/>
        <v>300</v>
      </c>
      <c r="BH50" s="14">
        <f t="shared" si="12"/>
        <v>300</v>
      </c>
      <c r="BI50" s="14">
        <f t="shared" si="13"/>
        <v>300</v>
      </c>
      <c r="BJ50" s="14">
        <f t="shared" si="14"/>
        <v>300</v>
      </c>
      <c r="BK50" s="14">
        <f t="shared" si="15"/>
        <v>300</v>
      </c>
      <c r="BL50" s="14">
        <f t="shared" si="16"/>
        <v>300</v>
      </c>
      <c r="BM50" s="14">
        <f t="shared" si="17"/>
        <v>300</v>
      </c>
      <c r="BN50" s="14">
        <f t="shared" si="18"/>
        <v>300</v>
      </c>
      <c r="BO50" s="14">
        <f t="shared" si="19"/>
        <v>300</v>
      </c>
      <c r="BP50" s="14">
        <f t="shared" si="20"/>
        <v>300</v>
      </c>
      <c r="BQ50" s="37">
        <f t="shared" si="67"/>
        <v>3600</v>
      </c>
    </row>
    <row r="51" spans="2:69" ht="18" customHeight="1">
      <c r="B51" s="12">
        <v>12</v>
      </c>
      <c r="C51" s="12"/>
      <c r="D51" s="10" t="s">
        <v>151</v>
      </c>
      <c r="E51" s="10" t="s">
        <v>67</v>
      </c>
      <c r="F51" s="11" t="s">
        <v>107</v>
      </c>
      <c r="G51" s="11"/>
      <c r="H51" s="11" t="s">
        <v>75</v>
      </c>
      <c r="I51" s="13">
        <v>0.8</v>
      </c>
      <c r="J51" s="13">
        <v>0.6</v>
      </c>
      <c r="K51" s="12"/>
      <c r="L51" s="12"/>
      <c r="M51" s="12" t="s">
        <v>76</v>
      </c>
      <c r="N51" s="12" t="s">
        <v>152</v>
      </c>
      <c r="O51" s="12"/>
      <c r="P51" s="14">
        <v>2000</v>
      </c>
      <c r="Q51" s="14">
        <v>2000</v>
      </c>
      <c r="R51" s="14">
        <v>0</v>
      </c>
      <c r="S51" s="14">
        <v>0</v>
      </c>
      <c r="T51" s="14">
        <v>500</v>
      </c>
      <c r="U51" s="14"/>
      <c r="V51" s="14"/>
      <c r="W51" s="14"/>
      <c r="X51" s="14"/>
      <c r="Y51" s="14"/>
      <c r="Z51" s="14"/>
      <c r="AA51" s="14"/>
      <c r="AB51" s="37">
        <f t="shared" si="54"/>
        <v>4500</v>
      </c>
      <c r="AC51" s="29"/>
      <c r="AD51" s="38">
        <f t="shared" si="86"/>
        <v>1200</v>
      </c>
      <c r="AE51" s="38">
        <f t="shared" si="87"/>
        <v>1200</v>
      </c>
      <c r="AF51" s="38">
        <f t="shared" si="71"/>
        <v>0</v>
      </c>
      <c r="AG51" s="38">
        <f t="shared" si="72"/>
        <v>0</v>
      </c>
      <c r="AH51" s="38">
        <f t="shared" si="88"/>
        <v>300</v>
      </c>
      <c r="AI51" s="38">
        <f t="shared" si="89"/>
        <v>0</v>
      </c>
      <c r="AJ51" s="38">
        <f t="shared" si="90"/>
        <v>0</v>
      </c>
      <c r="AK51" s="38">
        <f t="shared" si="91"/>
        <v>0</v>
      </c>
      <c r="AL51" s="38">
        <f t="shared" si="92"/>
        <v>0</v>
      </c>
      <c r="AM51" s="38">
        <f t="shared" si="93"/>
        <v>0</v>
      </c>
      <c r="AN51" s="38">
        <f t="shared" si="94"/>
        <v>0</v>
      </c>
      <c r="AO51" s="38">
        <f t="shared" si="95"/>
        <v>0</v>
      </c>
      <c r="AP51" s="39">
        <f t="shared" si="75"/>
        <v>2700</v>
      </c>
      <c r="AQ51" s="29"/>
      <c r="AR51" s="15">
        <f t="shared" si="76"/>
        <v>0.4</v>
      </c>
      <c r="AS51" s="15">
        <f t="shared" si="77"/>
        <v>0.4</v>
      </c>
      <c r="AT51" s="15" t="str">
        <f t="shared" si="78"/>
        <v/>
      </c>
      <c r="AU51" s="15" t="str">
        <f t="shared" si="73"/>
        <v/>
      </c>
      <c r="AV51" s="15">
        <f t="shared" si="74"/>
        <v>0.4</v>
      </c>
      <c r="AW51" s="15" t="str">
        <f t="shared" si="79"/>
        <v/>
      </c>
      <c r="AX51" s="15" t="str">
        <f t="shared" si="80"/>
        <v/>
      </c>
      <c r="AY51" s="15" t="str">
        <f t="shared" si="81"/>
        <v/>
      </c>
      <c r="AZ51" s="15" t="str">
        <f t="shared" si="82"/>
        <v/>
      </c>
      <c r="BA51" s="15" t="str">
        <f t="shared" si="83"/>
        <v/>
      </c>
      <c r="BB51" s="15" t="str">
        <f t="shared" si="84"/>
        <v/>
      </c>
      <c r="BC51" s="15" t="str">
        <f t="shared" si="85"/>
        <v/>
      </c>
      <c r="BE51" s="14">
        <f t="shared" si="9"/>
        <v>1600</v>
      </c>
      <c r="BF51" s="14">
        <f t="shared" si="10"/>
        <v>1600</v>
      </c>
      <c r="BG51" s="14">
        <f t="shared" si="11"/>
        <v>0</v>
      </c>
      <c r="BH51" s="14">
        <f t="shared" si="12"/>
        <v>0</v>
      </c>
      <c r="BI51" s="14">
        <f t="shared" si="13"/>
        <v>400</v>
      </c>
      <c r="BJ51" s="14">
        <f t="shared" si="14"/>
        <v>0</v>
      </c>
      <c r="BK51" s="14">
        <f t="shared" si="15"/>
        <v>0</v>
      </c>
      <c r="BL51" s="14">
        <f t="shared" si="16"/>
        <v>0</v>
      </c>
      <c r="BM51" s="14">
        <f t="shared" si="17"/>
        <v>0</v>
      </c>
      <c r="BN51" s="14">
        <f t="shared" si="18"/>
        <v>0</v>
      </c>
      <c r="BO51" s="14">
        <f t="shared" si="19"/>
        <v>0</v>
      </c>
      <c r="BP51" s="14">
        <f t="shared" si="20"/>
        <v>0</v>
      </c>
      <c r="BQ51" s="37">
        <f t="shared" si="67"/>
        <v>3600</v>
      </c>
    </row>
    <row r="52" spans="2:69" ht="18" hidden="1" customHeight="1">
      <c r="B52" s="12">
        <v>11</v>
      </c>
      <c r="C52" s="12"/>
      <c r="D52" s="10" t="s">
        <v>151</v>
      </c>
      <c r="E52" s="10" t="s">
        <v>67</v>
      </c>
      <c r="F52" s="11" t="s">
        <v>153</v>
      </c>
      <c r="G52" s="11"/>
      <c r="H52" s="11" t="s">
        <v>154</v>
      </c>
      <c r="I52" s="13">
        <v>1</v>
      </c>
      <c r="J52" s="13">
        <v>0.5</v>
      </c>
      <c r="K52" s="12"/>
      <c r="L52" s="12"/>
      <c r="M52" s="12" t="s">
        <v>76</v>
      </c>
      <c r="N52" s="12" t="s">
        <v>76</v>
      </c>
      <c r="O52" s="12"/>
      <c r="P52" s="14"/>
      <c r="Q52" s="14"/>
      <c r="R52" s="14"/>
      <c r="S52" s="14">
        <v>500</v>
      </c>
      <c r="T52" s="14">
        <v>500</v>
      </c>
      <c r="U52" s="14"/>
      <c r="V52" s="14"/>
      <c r="W52" s="14"/>
      <c r="X52" s="14"/>
      <c r="Y52" s="14"/>
      <c r="Z52" s="14"/>
      <c r="AA52" s="14"/>
      <c r="AB52" s="37">
        <f t="shared" ref="AB52:AB83" si="96">SUM(P52:AA52)</f>
        <v>1000</v>
      </c>
      <c r="AC52" s="29"/>
      <c r="AD52" s="38">
        <f t="shared" si="86"/>
        <v>0</v>
      </c>
      <c r="AE52" s="38">
        <f t="shared" si="87"/>
        <v>0</v>
      </c>
      <c r="AF52" s="38">
        <f t="shared" si="71"/>
        <v>0</v>
      </c>
      <c r="AG52" s="38">
        <f t="shared" si="72"/>
        <v>250</v>
      </c>
      <c r="AH52" s="38">
        <f t="shared" si="88"/>
        <v>250</v>
      </c>
      <c r="AI52" s="38">
        <f t="shared" si="89"/>
        <v>0</v>
      </c>
      <c r="AJ52" s="38">
        <f t="shared" si="90"/>
        <v>0</v>
      </c>
      <c r="AK52" s="38">
        <f t="shared" si="91"/>
        <v>0</v>
      </c>
      <c r="AL52" s="38">
        <f t="shared" si="92"/>
        <v>0</v>
      </c>
      <c r="AM52" s="38">
        <f t="shared" si="93"/>
        <v>0</v>
      </c>
      <c r="AN52" s="38">
        <f t="shared" si="94"/>
        <v>0</v>
      </c>
      <c r="AO52" s="38">
        <f t="shared" si="95"/>
        <v>0</v>
      </c>
      <c r="AP52" s="39">
        <f t="shared" si="75"/>
        <v>500</v>
      </c>
      <c r="AQ52" s="29"/>
      <c r="AR52" s="15" t="str">
        <f t="shared" si="76"/>
        <v/>
      </c>
      <c r="AS52" s="15" t="str">
        <f t="shared" si="77"/>
        <v/>
      </c>
      <c r="AT52" s="15" t="str">
        <f t="shared" si="78"/>
        <v/>
      </c>
      <c r="AU52" s="15">
        <f t="shared" si="73"/>
        <v>0.5</v>
      </c>
      <c r="AV52" s="15">
        <f t="shared" si="74"/>
        <v>0.5</v>
      </c>
      <c r="AW52" s="15" t="str">
        <f t="shared" si="79"/>
        <v/>
      </c>
      <c r="AX52" s="15" t="str">
        <f t="shared" si="80"/>
        <v/>
      </c>
      <c r="AY52" s="15" t="str">
        <f t="shared" si="81"/>
        <v/>
      </c>
      <c r="AZ52" s="15" t="str">
        <f t="shared" si="82"/>
        <v/>
      </c>
      <c r="BA52" s="15" t="str">
        <f t="shared" si="83"/>
        <v/>
      </c>
      <c r="BB52" s="15" t="str">
        <f t="shared" si="84"/>
        <v/>
      </c>
      <c r="BC52" s="15" t="str">
        <f t="shared" si="85"/>
        <v/>
      </c>
      <c r="BE52" s="14">
        <f t="shared" si="9"/>
        <v>0</v>
      </c>
      <c r="BF52" s="14">
        <f t="shared" si="10"/>
        <v>0</v>
      </c>
      <c r="BG52" s="14">
        <f t="shared" si="11"/>
        <v>0</v>
      </c>
      <c r="BH52" s="14">
        <f t="shared" si="12"/>
        <v>500</v>
      </c>
      <c r="BI52" s="14">
        <f t="shared" si="13"/>
        <v>500</v>
      </c>
      <c r="BJ52" s="14">
        <f t="shared" si="14"/>
        <v>0</v>
      </c>
      <c r="BK52" s="14">
        <f t="shared" si="15"/>
        <v>0</v>
      </c>
      <c r="BL52" s="14">
        <f t="shared" si="16"/>
        <v>0</v>
      </c>
      <c r="BM52" s="14">
        <f t="shared" si="17"/>
        <v>0</v>
      </c>
      <c r="BN52" s="14">
        <f t="shared" si="18"/>
        <v>0</v>
      </c>
      <c r="BO52" s="14">
        <f t="shared" si="19"/>
        <v>0</v>
      </c>
      <c r="BP52" s="14">
        <f t="shared" si="20"/>
        <v>0</v>
      </c>
      <c r="BQ52" s="37">
        <f t="shared" ref="BQ52:BQ76" si="97">SUM(BE52:BP52)</f>
        <v>1000</v>
      </c>
    </row>
    <row r="53" spans="2:69" ht="18" hidden="1" customHeight="1">
      <c r="B53" s="12">
        <v>47</v>
      </c>
      <c r="C53" s="12" t="s">
        <v>100</v>
      </c>
      <c r="D53" s="11" t="s">
        <v>155</v>
      </c>
      <c r="E53" s="11" t="s">
        <v>120</v>
      </c>
      <c r="F53" s="11" t="s">
        <v>156</v>
      </c>
      <c r="G53" s="11" t="s">
        <v>157</v>
      </c>
      <c r="H53" s="11" t="s">
        <v>98</v>
      </c>
      <c r="I53" s="13">
        <v>1</v>
      </c>
      <c r="J53" s="25">
        <v>0.4</v>
      </c>
      <c r="K53" s="12"/>
      <c r="L53" s="12"/>
      <c r="M53" s="12" t="s">
        <v>76</v>
      </c>
      <c r="N53" s="12" t="s">
        <v>76</v>
      </c>
      <c r="O53" s="12"/>
      <c r="P53" s="14"/>
      <c r="Q53" s="14"/>
      <c r="R53" s="14"/>
      <c r="S53" s="14"/>
      <c r="T53" s="14"/>
      <c r="U53" s="14"/>
      <c r="V53" s="14">
        <v>500</v>
      </c>
      <c r="W53" s="14">
        <v>500</v>
      </c>
      <c r="X53" s="14">
        <v>500</v>
      </c>
      <c r="Y53" s="14">
        <v>500</v>
      </c>
      <c r="Z53" s="14">
        <v>500</v>
      </c>
      <c r="AA53" s="14">
        <v>500</v>
      </c>
      <c r="AB53" s="37">
        <f t="shared" si="96"/>
        <v>3000</v>
      </c>
      <c r="AC53" s="29"/>
      <c r="AD53" s="38">
        <f t="shared" si="86"/>
        <v>0</v>
      </c>
      <c r="AE53" s="38">
        <f t="shared" si="87"/>
        <v>0</v>
      </c>
      <c r="AF53" s="38">
        <f t="shared" si="71"/>
        <v>0</v>
      </c>
      <c r="AG53" s="38">
        <f t="shared" si="72"/>
        <v>0</v>
      </c>
      <c r="AH53" s="38">
        <f t="shared" si="88"/>
        <v>0</v>
      </c>
      <c r="AI53" s="38">
        <f t="shared" si="89"/>
        <v>0</v>
      </c>
      <c r="AJ53" s="38">
        <f t="shared" si="90"/>
        <v>200</v>
      </c>
      <c r="AK53" s="38">
        <f t="shared" si="91"/>
        <v>200</v>
      </c>
      <c r="AL53" s="38">
        <f t="shared" si="92"/>
        <v>200</v>
      </c>
      <c r="AM53" s="38">
        <f t="shared" si="93"/>
        <v>200</v>
      </c>
      <c r="AN53" s="38">
        <f t="shared" si="94"/>
        <v>200</v>
      </c>
      <c r="AO53" s="38">
        <f t="shared" si="95"/>
        <v>200</v>
      </c>
      <c r="AP53" s="39">
        <f t="shared" si="75"/>
        <v>1200</v>
      </c>
      <c r="AQ53" s="29"/>
      <c r="AR53" s="15" t="str">
        <f t="shared" si="76"/>
        <v/>
      </c>
      <c r="AS53" s="15" t="str">
        <f t="shared" si="77"/>
        <v/>
      </c>
      <c r="AT53" s="15" t="str">
        <f t="shared" si="78"/>
        <v/>
      </c>
      <c r="AU53" s="15" t="str">
        <f t="shared" si="73"/>
        <v/>
      </c>
      <c r="AV53" s="15" t="str">
        <f t="shared" si="74"/>
        <v/>
      </c>
      <c r="AW53" s="15" t="str">
        <f t="shared" si="79"/>
        <v/>
      </c>
      <c r="AX53" s="15">
        <f t="shared" si="80"/>
        <v>0.6</v>
      </c>
      <c r="AY53" s="15">
        <f t="shared" si="81"/>
        <v>0.6</v>
      </c>
      <c r="AZ53" s="15">
        <f t="shared" si="82"/>
        <v>0.6</v>
      </c>
      <c r="BA53" s="15">
        <f t="shared" si="83"/>
        <v>0.6</v>
      </c>
      <c r="BB53" s="15">
        <f t="shared" si="84"/>
        <v>0.6</v>
      </c>
      <c r="BC53" s="15">
        <f t="shared" si="85"/>
        <v>0.6</v>
      </c>
      <c r="BE53" s="14">
        <f t="shared" si="9"/>
        <v>0</v>
      </c>
      <c r="BF53" s="14">
        <f t="shared" si="10"/>
        <v>0</v>
      </c>
      <c r="BG53" s="14">
        <f t="shared" si="11"/>
        <v>0</v>
      </c>
      <c r="BH53" s="14">
        <f t="shared" si="12"/>
        <v>0</v>
      </c>
      <c r="BI53" s="14">
        <f t="shared" si="13"/>
        <v>0</v>
      </c>
      <c r="BJ53" s="14">
        <f t="shared" si="14"/>
        <v>0</v>
      </c>
      <c r="BK53" s="14">
        <f t="shared" si="15"/>
        <v>500</v>
      </c>
      <c r="BL53" s="14">
        <f t="shared" si="16"/>
        <v>500</v>
      </c>
      <c r="BM53" s="14">
        <f t="shared" si="17"/>
        <v>500</v>
      </c>
      <c r="BN53" s="14">
        <f t="shared" si="18"/>
        <v>500</v>
      </c>
      <c r="BO53" s="14">
        <f t="shared" si="19"/>
        <v>500</v>
      </c>
      <c r="BP53" s="14">
        <f t="shared" si="20"/>
        <v>500</v>
      </c>
      <c r="BQ53" s="37">
        <f t="shared" si="97"/>
        <v>3000</v>
      </c>
    </row>
    <row r="54" spans="2:69" ht="18" customHeight="1">
      <c r="B54" s="12">
        <v>53</v>
      </c>
      <c r="C54" s="12"/>
      <c r="D54" s="11" t="s">
        <v>155</v>
      </c>
      <c r="E54" s="11" t="s">
        <v>120</v>
      </c>
      <c r="F54" s="11" t="s">
        <v>139</v>
      </c>
      <c r="G54" s="11" t="s">
        <v>158</v>
      </c>
      <c r="H54" s="11" t="s">
        <v>75</v>
      </c>
      <c r="I54" s="24"/>
      <c r="J54" s="24"/>
      <c r="K54" s="12"/>
      <c r="L54" s="12"/>
      <c r="M54" s="12"/>
      <c r="N54" s="12"/>
      <c r="O54" s="12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37">
        <f t="shared" si="96"/>
        <v>0</v>
      </c>
      <c r="AC54" s="29"/>
      <c r="AD54" s="38">
        <f t="shared" si="86"/>
        <v>0</v>
      </c>
      <c r="AE54" s="38">
        <f t="shared" si="87"/>
        <v>0</v>
      </c>
      <c r="AF54" s="38">
        <f t="shared" si="71"/>
        <v>0</v>
      </c>
      <c r="AG54" s="38">
        <f t="shared" si="72"/>
        <v>0</v>
      </c>
      <c r="AH54" s="38">
        <f t="shared" si="88"/>
        <v>0</v>
      </c>
      <c r="AI54" s="38">
        <f t="shared" si="89"/>
        <v>0</v>
      </c>
      <c r="AJ54" s="38">
        <f t="shared" si="90"/>
        <v>0</v>
      </c>
      <c r="AK54" s="38">
        <f t="shared" si="91"/>
        <v>0</v>
      </c>
      <c r="AL54" s="38">
        <f t="shared" si="92"/>
        <v>0</v>
      </c>
      <c r="AM54" s="38">
        <f t="shared" si="93"/>
        <v>0</v>
      </c>
      <c r="AN54" s="38">
        <f t="shared" si="94"/>
        <v>0</v>
      </c>
      <c r="AO54" s="38">
        <f t="shared" si="95"/>
        <v>0</v>
      </c>
      <c r="AP54" s="39">
        <f t="shared" si="75"/>
        <v>0</v>
      </c>
      <c r="AQ54" s="29"/>
      <c r="AR54" s="15" t="str">
        <f t="shared" si="76"/>
        <v/>
      </c>
      <c r="AS54" s="15" t="str">
        <f t="shared" si="77"/>
        <v/>
      </c>
      <c r="AT54" s="15" t="str">
        <f t="shared" si="78"/>
        <v/>
      </c>
      <c r="AU54" s="15" t="str">
        <f t="shared" si="73"/>
        <v/>
      </c>
      <c r="AV54" s="15" t="str">
        <f t="shared" si="74"/>
        <v/>
      </c>
      <c r="AW54" s="15" t="str">
        <f t="shared" si="79"/>
        <v/>
      </c>
      <c r="AX54" s="15" t="str">
        <f t="shared" si="80"/>
        <v/>
      </c>
      <c r="AY54" s="15" t="str">
        <f t="shared" si="81"/>
        <v/>
      </c>
      <c r="AZ54" s="15" t="str">
        <f t="shared" si="82"/>
        <v/>
      </c>
      <c r="BA54" s="15" t="str">
        <f t="shared" si="83"/>
        <v/>
      </c>
      <c r="BB54" s="15" t="str">
        <f t="shared" si="84"/>
        <v/>
      </c>
      <c r="BC54" s="15" t="str">
        <f t="shared" si="85"/>
        <v/>
      </c>
      <c r="BE54" s="14">
        <f t="shared" si="9"/>
        <v>0</v>
      </c>
      <c r="BF54" s="14">
        <f t="shared" si="10"/>
        <v>0</v>
      </c>
      <c r="BG54" s="14">
        <f t="shared" si="11"/>
        <v>0</v>
      </c>
      <c r="BH54" s="14">
        <f t="shared" si="12"/>
        <v>0</v>
      </c>
      <c r="BI54" s="14">
        <f t="shared" si="13"/>
        <v>0</v>
      </c>
      <c r="BJ54" s="14">
        <f t="shared" si="14"/>
        <v>0</v>
      </c>
      <c r="BK54" s="14">
        <f t="shared" si="15"/>
        <v>0</v>
      </c>
      <c r="BL54" s="14">
        <f t="shared" si="16"/>
        <v>0</v>
      </c>
      <c r="BM54" s="14">
        <f t="shared" si="17"/>
        <v>0</v>
      </c>
      <c r="BN54" s="14">
        <f t="shared" si="18"/>
        <v>0</v>
      </c>
      <c r="BO54" s="14">
        <f t="shared" si="19"/>
        <v>0</v>
      </c>
      <c r="BP54" s="14">
        <f t="shared" si="20"/>
        <v>0</v>
      </c>
      <c r="BQ54" s="37">
        <f t="shared" si="97"/>
        <v>0</v>
      </c>
    </row>
    <row r="55" spans="2:69" ht="18" customHeight="1">
      <c r="B55" s="12">
        <v>54</v>
      </c>
      <c r="C55" s="12"/>
      <c r="D55" s="11" t="s">
        <v>155</v>
      </c>
      <c r="E55" s="11" t="s">
        <v>120</v>
      </c>
      <c r="F55" s="11" t="s">
        <v>159</v>
      </c>
      <c r="G55" s="11" t="s">
        <v>160</v>
      </c>
      <c r="H55" s="11" t="s">
        <v>75</v>
      </c>
      <c r="I55" s="24"/>
      <c r="J55" s="24"/>
      <c r="K55" s="12"/>
      <c r="L55" s="12"/>
      <c r="M55" s="12"/>
      <c r="N55" s="12"/>
      <c r="O55" s="12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37">
        <f t="shared" si="96"/>
        <v>0</v>
      </c>
      <c r="AC55" s="29"/>
      <c r="AD55" s="38">
        <f t="shared" si="86"/>
        <v>0</v>
      </c>
      <c r="AE55" s="38">
        <f t="shared" si="87"/>
        <v>0</v>
      </c>
      <c r="AF55" s="38">
        <f t="shared" si="71"/>
        <v>0</v>
      </c>
      <c r="AG55" s="38">
        <f t="shared" si="72"/>
        <v>0</v>
      </c>
      <c r="AH55" s="38">
        <f t="shared" si="88"/>
        <v>0</v>
      </c>
      <c r="AI55" s="38">
        <f t="shared" si="89"/>
        <v>0</v>
      </c>
      <c r="AJ55" s="38">
        <f t="shared" si="90"/>
        <v>0</v>
      </c>
      <c r="AK55" s="38">
        <f>X55*$J55</f>
        <v>0</v>
      </c>
      <c r="AL55" s="38">
        <f t="shared" si="92"/>
        <v>0</v>
      </c>
      <c r="AM55" s="38">
        <f t="shared" si="93"/>
        <v>0</v>
      </c>
      <c r="AN55" s="38">
        <f t="shared" si="94"/>
        <v>0</v>
      </c>
      <c r="AO55" s="38">
        <f t="shared" si="95"/>
        <v>0</v>
      </c>
      <c r="AP55" s="39">
        <f t="shared" si="75"/>
        <v>0</v>
      </c>
      <c r="AQ55" s="29"/>
      <c r="AR55" s="15" t="str">
        <f t="shared" si="76"/>
        <v/>
      </c>
      <c r="AS55" s="15" t="str">
        <f t="shared" si="77"/>
        <v/>
      </c>
      <c r="AT55" s="15" t="str">
        <f t="shared" si="78"/>
        <v/>
      </c>
      <c r="AU55" s="15" t="str">
        <f t="shared" si="73"/>
        <v/>
      </c>
      <c r="AV55" s="15" t="str">
        <f t="shared" si="74"/>
        <v/>
      </c>
      <c r="AW55" s="15" t="str">
        <f t="shared" si="79"/>
        <v/>
      </c>
      <c r="AX55" s="15" t="str">
        <f t="shared" si="80"/>
        <v/>
      </c>
      <c r="AY55" s="15" t="str">
        <f>IFERROR((X55-AK55)/X55,"")</f>
        <v/>
      </c>
      <c r="AZ55" s="15" t="str">
        <f>IFERROR((#REF!-AL55)/#REF!,"")</f>
        <v/>
      </c>
      <c r="BA55" s="15" t="str">
        <f t="shared" si="83"/>
        <v/>
      </c>
      <c r="BB55" s="15" t="str">
        <f t="shared" si="84"/>
        <v/>
      </c>
      <c r="BC55" s="15" t="str">
        <f t="shared" si="85"/>
        <v/>
      </c>
      <c r="BE55" s="14">
        <f t="shared" si="9"/>
        <v>0</v>
      </c>
      <c r="BF55" s="14">
        <f t="shared" si="10"/>
        <v>0</v>
      </c>
      <c r="BG55" s="14">
        <f t="shared" si="11"/>
        <v>0</v>
      </c>
      <c r="BH55" s="14">
        <f t="shared" si="12"/>
        <v>0</v>
      </c>
      <c r="BI55" s="14">
        <f t="shared" si="13"/>
        <v>0</v>
      </c>
      <c r="BJ55" s="14">
        <f t="shared" si="14"/>
        <v>0</v>
      </c>
      <c r="BK55" s="14">
        <f t="shared" si="15"/>
        <v>0</v>
      </c>
      <c r="BL55" s="14">
        <f>$I55*X55</f>
        <v>0</v>
      </c>
      <c r="BM55" s="14">
        <f t="shared" si="17"/>
        <v>0</v>
      </c>
      <c r="BN55" s="14">
        <f t="shared" si="18"/>
        <v>0</v>
      </c>
      <c r="BO55" s="14">
        <f t="shared" si="19"/>
        <v>0</v>
      </c>
      <c r="BP55" s="14">
        <f t="shared" si="20"/>
        <v>0</v>
      </c>
      <c r="BQ55" s="37">
        <f t="shared" si="97"/>
        <v>0</v>
      </c>
    </row>
    <row r="56" spans="2:69" ht="18" customHeight="1">
      <c r="B56" s="12">
        <v>55</v>
      </c>
      <c r="C56" s="12"/>
      <c r="D56" s="11" t="s">
        <v>155</v>
      </c>
      <c r="E56" s="11" t="s">
        <v>120</v>
      </c>
      <c r="F56" s="11" t="s">
        <v>159</v>
      </c>
      <c r="G56" s="11" t="s">
        <v>161</v>
      </c>
      <c r="H56" s="11" t="s">
        <v>75</v>
      </c>
      <c r="I56" s="24"/>
      <c r="J56" s="24"/>
      <c r="K56" s="12"/>
      <c r="L56" s="12"/>
      <c r="M56" s="12"/>
      <c r="N56" s="12"/>
      <c r="O56" s="12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37">
        <f t="shared" si="96"/>
        <v>0</v>
      </c>
      <c r="AC56" s="29"/>
      <c r="AD56" s="38">
        <f t="shared" si="86"/>
        <v>0</v>
      </c>
      <c r="AE56" s="38">
        <f t="shared" si="87"/>
        <v>0</v>
      </c>
      <c r="AF56" s="38">
        <f t="shared" si="71"/>
        <v>0</v>
      </c>
      <c r="AG56" s="38">
        <f t="shared" si="72"/>
        <v>0</v>
      </c>
      <c r="AH56" s="38">
        <f t="shared" si="88"/>
        <v>0</v>
      </c>
      <c r="AI56" s="38">
        <f t="shared" si="89"/>
        <v>0</v>
      </c>
      <c r="AJ56" s="38">
        <f t="shared" si="90"/>
        <v>0</v>
      </c>
      <c r="AK56" s="38">
        <f t="shared" si="91"/>
        <v>0</v>
      </c>
      <c r="AL56" s="38">
        <f t="shared" si="92"/>
        <v>0</v>
      </c>
      <c r="AM56" s="38">
        <f t="shared" si="93"/>
        <v>0</v>
      </c>
      <c r="AN56" s="38">
        <f t="shared" si="94"/>
        <v>0</v>
      </c>
      <c r="AO56" s="38">
        <f t="shared" si="95"/>
        <v>0</v>
      </c>
      <c r="AP56" s="39">
        <f t="shared" si="75"/>
        <v>0</v>
      </c>
      <c r="AQ56" s="29"/>
      <c r="AR56" s="15" t="str">
        <f t="shared" si="76"/>
        <v/>
      </c>
      <c r="AS56" s="15" t="str">
        <f t="shared" si="77"/>
        <v/>
      </c>
      <c r="AT56" s="15" t="str">
        <f t="shared" si="78"/>
        <v/>
      </c>
      <c r="AU56" s="15" t="str">
        <f t="shared" si="73"/>
        <v/>
      </c>
      <c r="AV56" s="15" t="str">
        <f t="shared" si="74"/>
        <v/>
      </c>
      <c r="AW56" s="15" t="str">
        <f t="shared" si="79"/>
        <v/>
      </c>
      <c r="AX56" s="15" t="str">
        <f t="shared" si="80"/>
        <v/>
      </c>
      <c r="AY56" s="15" t="str">
        <f t="shared" si="81"/>
        <v/>
      </c>
      <c r="AZ56" s="15" t="str">
        <f t="shared" si="82"/>
        <v/>
      </c>
      <c r="BA56" s="15" t="str">
        <f t="shared" si="83"/>
        <v/>
      </c>
      <c r="BB56" s="15" t="str">
        <f t="shared" si="84"/>
        <v/>
      </c>
      <c r="BC56" s="15" t="str">
        <f t="shared" si="85"/>
        <v/>
      </c>
      <c r="BE56" s="14">
        <f t="shared" si="9"/>
        <v>0</v>
      </c>
      <c r="BF56" s="14">
        <f t="shared" si="10"/>
        <v>0</v>
      </c>
      <c r="BG56" s="14">
        <f t="shared" si="11"/>
        <v>0</v>
      </c>
      <c r="BH56" s="14">
        <f t="shared" si="12"/>
        <v>0</v>
      </c>
      <c r="BI56" s="14">
        <f t="shared" si="13"/>
        <v>0</v>
      </c>
      <c r="BJ56" s="14">
        <f t="shared" si="14"/>
        <v>0</v>
      </c>
      <c r="BK56" s="14">
        <f t="shared" si="15"/>
        <v>0</v>
      </c>
      <c r="BL56" s="14">
        <f t="shared" si="16"/>
        <v>0</v>
      </c>
      <c r="BM56" s="14">
        <f t="shared" si="17"/>
        <v>0</v>
      </c>
      <c r="BN56" s="14">
        <f t="shared" si="18"/>
        <v>0</v>
      </c>
      <c r="BO56" s="14">
        <f t="shared" si="19"/>
        <v>0</v>
      </c>
      <c r="BP56" s="14">
        <f t="shared" si="20"/>
        <v>0</v>
      </c>
      <c r="BQ56" s="37">
        <f t="shared" si="97"/>
        <v>0</v>
      </c>
    </row>
    <row r="57" spans="2:69" ht="18" customHeight="1">
      <c r="B57" s="12">
        <v>30</v>
      </c>
      <c r="C57" s="12" t="s">
        <v>100</v>
      </c>
      <c r="D57" s="11" t="s">
        <v>162</v>
      </c>
      <c r="E57" s="10" t="s">
        <v>108</v>
      </c>
      <c r="F57" s="11" t="s">
        <v>163</v>
      </c>
      <c r="G57" s="11"/>
      <c r="H57" s="11" t="s">
        <v>75</v>
      </c>
      <c r="I57" s="25">
        <v>0.5</v>
      </c>
      <c r="J57" s="24"/>
      <c r="K57" s="12"/>
      <c r="L57" s="12"/>
      <c r="M57" s="12" t="s">
        <v>71</v>
      </c>
      <c r="N57" s="12" t="s">
        <v>103</v>
      </c>
      <c r="O57" s="12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>
        <v>380</v>
      </c>
      <c r="AB57" s="37">
        <f t="shared" si="96"/>
        <v>380</v>
      </c>
      <c r="AC57" s="29"/>
      <c r="AD57" s="38">
        <f t="shared" si="86"/>
        <v>0</v>
      </c>
      <c r="AE57" s="38">
        <f t="shared" si="87"/>
        <v>0</v>
      </c>
      <c r="AF57" s="38">
        <f t="shared" si="71"/>
        <v>0</v>
      </c>
      <c r="AG57" s="38">
        <f t="shared" si="72"/>
        <v>0</v>
      </c>
      <c r="AH57" s="38">
        <f t="shared" si="88"/>
        <v>0</v>
      </c>
      <c r="AI57" s="38">
        <f t="shared" si="89"/>
        <v>0</v>
      </c>
      <c r="AJ57" s="38">
        <f t="shared" si="90"/>
        <v>0</v>
      </c>
      <c r="AK57" s="38">
        <f t="shared" si="91"/>
        <v>0</v>
      </c>
      <c r="AL57" s="38">
        <f t="shared" si="92"/>
        <v>0</v>
      </c>
      <c r="AM57" s="38">
        <f t="shared" si="93"/>
        <v>0</v>
      </c>
      <c r="AN57" s="38">
        <f t="shared" si="94"/>
        <v>0</v>
      </c>
      <c r="AO57" s="38">
        <f t="shared" si="95"/>
        <v>0</v>
      </c>
      <c r="AP57" s="39">
        <f t="shared" si="75"/>
        <v>0</v>
      </c>
      <c r="AQ57" s="29"/>
      <c r="AR57" s="15" t="str">
        <f t="shared" si="76"/>
        <v/>
      </c>
      <c r="AS57" s="15" t="str">
        <f t="shared" si="77"/>
        <v/>
      </c>
      <c r="AT57" s="15" t="str">
        <f t="shared" si="78"/>
        <v/>
      </c>
      <c r="AU57" s="15" t="str">
        <f t="shared" si="73"/>
        <v/>
      </c>
      <c r="AV57" s="15" t="str">
        <f t="shared" si="74"/>
        <v/>
      </c>
      <c r="AW57" s="15" t="str">
        <f t="shared" si="79"/>
        <v/>
      </c>
      <c r="AX57" s="15" t="str">
        <f t="shared" si="80"/>
        <v/>
      </c>
      <c r="AY57" s="15" t="str">
        <f t="shared" si="81"/>
        <v/>
      </c>
      <c r="AZ57" s="15" t="str">
        <f t="shared" si="82"/>
        <v/>
      </c>
      <c r="BA57" s="15" t="str">
        <f t="shared" si="83"/>
        <v/>
      </c>
      <c r="BB57" s="15" t="str">
        <f t="shared" si="84"/>
        <v/>
      </c>
      <c r="BC57" s="15">
        <f t="shared" si="85"/>
        <v>1</v>
      </c>
      <c r="BE57" s="14">
        <f t="shared" si="9"/>
        <v>0</v>
      </c>
      <c r="BF57" s="14">
        <f t="shared" si="10"/>
        <v>0</v>
      </c>
      <c r="BG57" s="14">
        <f t="shared" si="11"/>
        <v>0</v>
      </c>
      <c r="BH57" s="14">
        <f t="shared" si="12"/>
        <v>0</v>
      </c>
      <c r="BI57" s="14">
        <f t="shared" si="13"/>
        <v>0</v>
      </c>
      <c r="BJ57" s="14">
        <f t="shared" si="14"/>
        <v>0</v>
      </c>
      <c r="BK57" s="14">
        <f t="shared" si="15"/>
        <v>0</v>
      </c>
      <c r="BL57" s="14">
        <f t="shared" si="16"/>
        <v>0</v>
      </c>
      <c r="BM57" s="14">
        <f t="shared" si="17"/>
        <v>0</v>
      </c>
      <c r="BN57" s="14">
        <f t="shared" si="18"/>
        <v>0</v>
      </c>
      <c r="BO57" s="14">
        <f t="shared" si="19"/>
        <v>0</v>
      </c>
      <c r="BP57" s="14">
        <f t="shared" si="20"/>
        <v>190</v>
      </c>
      <c r="BQ57" s="37">
        <f t="shared" si="97"/>
        <v>190</v>
      </c>
    </row>
    <row r="58" spans="2:69" ht="18" hidden="1" customHeight="1">
      <c r="B58" s="12">
        <v>57</v>
      </c>
      <c r="C58" s="12" t="s">
        <v>100</v>
      </c>
      <c r="D58" s="11" t="s">
        <v>162</v>
      </c>
      <c r="E58" s="10" t="s">
        <v>108</v>
      </c>
      <c r="F58" s="11" t="s">
        <v>164</v>
      </c>
      <c r="G58" s="11"/>
      <c r="H58" s="11" t="s">
        <v>70</v>
      </c>
      <c r="I58" s="25">
        <v>1</v>
      </c>
      <c r="J58" s="25">
        <v>0.4</v>
      </c>
      <c r="K58" s="12"/>
      <c r="L58" s="12"/>
      <c r="M58" s="12" t="s">
        <v>71</v>
      </c>
      <c r="N58" s="12" t="s">
        <v>71</v>
      </c>
      <c r="O58" s="12"/>
      <c r="P58" s="14"/>
      <c r="Q58" s="14"/>
      <c r="R58" s="14"/>
      <c r="S58" s="14"/>
      <c r="T58" s="14"/>
      <c r="U58" s="14">
        <v>150</v>
      </c>
      <c r="V58" s="14">
        <v>500</v>
      </c>
      <c r="W58" s="14">
        <v>500</v>
      </c>
      <c r="X58" s="14">
        <v>500</v>
      </c>
      <c r="Y58" s="14">
        <v>500</v>
      </c>
      <c r="Z58" s="14">
        <v>500</v>
      </c>
      <c r="AA58" s="14">
        <v>500</v>
      </c>
      <c r="AB58" s="37">
        <f t="shared" si="96"/>
        <v>3150</v>
      </c>
      <c r="AC58" s="29"/>
      <c r="AD58" s="38">
        <f t="shared" si="86"/>
        <v>0</v>
      </c>
      <c r="AE58" s="38">
        <f t="shared" si="87"/>
        <v>0</v>
      </c>
      <c r="AF58" s="38">
        <f t="shared" si="71"/>
        <v>0</v>
      </c>
      <c r="AG58" s="38">
        <f t="shared" si="72"/>
        <v>0</v>
      </c>
      <c r="AH58" s="38">
        <f t="shared" si="88"/>
        <v>0</v>
      </c>
      <c r="AI58" s="38">
        <f t="shared" si="89"/>
        <v>60</v>
      </c>
      <c r="AJ58" s="38">
        <f t="shared" si="90"/>
        <v>200</v>
      </c>
      <c r="AK58" s="38">
        <f t="shared" si="91"/>
        <v>200</v>
      </c>
      <c r="AL58" s="38">
        <f t="shared" si="92"/>
        <v>200</v>
      </c>
      <c r="AM58" s="38">
        <f t="shared" si="93"/>
        <v>200</v>
      </c>
      <c r="AN58" s="38">
        <f t="shared" si="94"/>
        <v>200</v>
      </c>
      <c r="AO58" s="38">
        <f t="shared" si="95"/>
        <v>200</v>
      </c>
      <c r="AP58" s="39">
        <f t="shared" si="75"/>
        <v>1260</v>
      </c>
      <c r="AQ58" s="29"/>
      <c r="AR58" s="15" t="str">
        <f t="shared" si="76"/>
        <v/>
      </c>
      <c r="AS58" s="15" t="str">
        <f t="shared" si="77"/>
        <v/>
      </c>
      <c r="AT58" s="15" t="str">
        <f t="shared" si="78"/>
        <v/>
      </c>
      <c r="AU58" s="15" t="str">
        <f t="shared" si="73"/>
        <v/>
      </c>
      <c r="AV58" s="15" t="str">
        <f t="shared" si="74"/>
        <v/>
      </c>
      <c r="AW58" s="15">
        <f t="shared" si="79"/>
        <v>0.6</v>
      </c>
      <c r="AX58" s="15">
        <f t="shared" si="80"/>
        <v>0.6</v>
      </c>
      <c r="AY58" s="15">
        <f t="shared" si="81"/>
        <v>0.6</v>
      </c>
      <c r="AZ58" s="15">
        <f t="shared" si="82"/>
        <v>0.6</v>
      </c>
      <c r="BA58" s="15">
        <f t="shared" si="83"/>
        <v>0.6</v>
      </c>
      <c r="BB58" s="15">
        <f t="shared" si="84"/>
        <v>0.6</v>
      </c>
      <c r="BC58" s="15">
        <f t="shared" si="85"/>
        <v>0.6</v>
      </c>
      <c r="BE58" s="14">
        <f t="shared" si="9"/>
        <v>0</v>
      </c>
      <c r="BF58" s="14">
        <f t="shared" si="10"/>
        <v>0</v>
      </c>
      <c r="BG58" s="14">
        <f t="shared" si="11"/>
        <v>0</v>
      </c>
      <c r="BH58" s="14">
        <f t="shared" si="12"/>
        <v>0</v>
      </c>
      <c r="BI58" s="14">
        <f t="shared" si="13"/>
        <v>0</v>
      </c>
      <c r="BJ58" s="14">
        <f t="shared" si="14"/>
        <v>150</v>
      </c>
      <c r="BK58" s="14">
        <f t="shared" si="15"/>
        <v>500</v>
      </c>
      <c r="BL58" s="14">
        <f t="shared" si="16"/>
        <v>500</v>
      </c>
      <c r="BM58" s="14">
        <f t="shared" si="17"/>
        <v>500</v>
      </c>
      <c r="BN58" s="14">
        <f t="shared" si="18"/>
        <v>500</v>
      </c>
      <c r="BO58" s="14">
        <f t="shared" si="19"/>
        <v>500</v>
      </c>
      <c r="BP58" s="14">
        <f t="shared" si="20"/>
        <v>500</v>
      </c>
      <c r="BQ58" s="37">
        <f t="shared" si="97"/>
        <v>3150</v>
      </c>
    </row>
    <row r="59" spans="2:69" ht="18" customHeight="1">
      <c r="B59" s="12">
        <v>58</v>
      </c>
      <c r="C59" s="12" t="s">
        <v>100</v>
      </c>
      <c r="D59" s="11" t="s">
        <v>162</v>
      </c>
      <c r="E59" s="10" t="s">
        <v>108</v>
      </c>
      <c r="F59" s="11" t="s">
        <v>165</v>
      </c>
      <c r="G59" s="11"/>
      <c r="H59" s="11" t="s">
        <v>75</v>
      </c>
      <c r="I59" s="13">
        <v>0.5</v>
      </c>
      <c r="J59" s="13">
        <v>0.5</v>
      </c>
      <c r="K59" s="12"/>
      <c r="L59" s="12"/>
      <c r="M59" s="12" t="s">
        <v>76</v>
      </c>
      <c r="N59" s="12" t="s">
        <v>76</v>
      </c>
      <c r="O59" s="12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50">
        <v>2250</v>
      </c>
      <c r="AB59" s="37">
        <f t="shared" si="96"/>
        <v>2250</v>
      </c>
      <c r="AC59" s="29"/>
      <c r="AD59" s="38">
        <f t="shared" si="86"/>
        <v>0</v>
      </c>
      <c r="AE59" s="38">
        <f t="shared" si="87"/>
        <v>0</v>
      </c>
      <c r="AF59" s="38">
        <f t="shared" si="71"/>
        <v>0</v>
      </c>
      <c r="AG59" s="38">
        <f t="shared" si="72"/>
        <v>0</v>
      </c>
      <c r="AH59" s="38">
        <f t="shared" si="88"/>
        <v>0</v>
      </c>
      <c r="AI59" s="38">
        <f t="shared" si="89"/>
        <v>0</v>
      </c>
      <c r="AJ59" s="38">
        <f t="shared" si="90"/>
        <v>0</v>
      </c>
      <c r="AK59" s="38">
        <f t="shared" si="91"/>
        <v>0</v>
      </c>
      <c r="AL59" s="38">
        <f t="shared" si="92"/>
        <v>0</v>
      </c>
      <c r="AM59" s="38">
        <f t="shared" si="93"/>
        <v>0</v>
      </c>
      <c r="AN59" s="38">
        <f t="shared" si="94"/>
        <v>0</v>
      </c>
      <c r="AO59" s="38">
        <f t="shared" si="95"/>
        <v>1125</v>
      </c>
      <c r="AP59" s="39">
        <f t="shared" si="75"/>
        <v>1125</v>
      </c>
      <c r="AQ59" s="29"/>
      <c r="AR59" s="15" t="str">
        <f t="shared" si="76"/>
        <v/>
      </c>
      <c r="AS59" s="15" t="str">
        <f t="shared" si="77"/>
        <v/>
      </c>
      <c r="AT59" s="15" t="str">
        <f t="shared" si="78"/>
        <v/>
      </c>
      <c r="AU59" s="15" t="str">
        <f t="shared" si="73"/>
        <v/>
      </c>
      <c r="AV59" s="15" t="str">
        <f t="shared" si="74"/>
        <v/>
      </c>
      <c r="AW59" s="15" t="str">
        <f t="shared" si="79"/>
        <v/>
      </c>
      <c r="AX59" s="15" t="str">
        <f t="shared" si="80"/>
        <v/>
      </c>
      <c r="AY59" s="15" t="str">
        <f t="shared" si="81"/>
        <v/>
      </c>
      <c r="AZ59" s="15" t="str">
        <f t="shared" si="82"/>
        <v/>
      </c>
      <c r="BA59" s="15" t="str">
        <f t="shared" si="83"/>
        <v/>
      </c>
      <c r="BB59" s="15" t="str">
        <f t="shared" si="84"/>
        <v/>
      </c>
      <c r="BC59" s="15">
        <f t="shared" si="85"/>
        <v>0.5</v>
      </c>
      <c r="BE59" s="14">
        <f t="shared" si="9"/>
        <v>0</v>
      </c>
      <c r="BF59" s="14">
        <f t="shared" si="10"/>
        <v>0</v>
      </c>
      <c r="BG59" s="14">
        <f t="shared" si="11"/>
        <v>0</v>
      </c>
      <c r="BH59" s="14">
        <f t="shared" si="12"/>
        <v>0</v>
      </c>
      <c r="BI59" s="14">
        <f t="shared" si="13"/>
        <v>0</v>
      </c>
      <c r="BJ59" s="14">
        <f t="shared" si="14"/>
        <v>0</v>
      </c>
      <c r="BK59" s="14">
        <f t="shared" si="15"/>
        <v>0</v>
      </c>
      <c r="BL59" s="14">
        <f t="shared" si="16"/>
        <v>0</v>
      </c>
      <c r="BM59" s="14">
        <f t="shared" si="17"/>
        <v>0</v>
      </c>
      <c r="BN59" s="14">
        <f t="shared" si="18"/>
        <v>0</v>
      </c>
      <c r="BO59" s="14">
        <f t="shared" si="19"/>
        <v>0</v>
      </c>
      <c r="BP59" s="14">
        <f t="shared" si="20"/>
        <v>1125</v>
      </c>
      <c r="BQ59" s="37">
        <f t="shared" si="97"/>
        <v>1125</v>
      </c>
    </row>
    <row r="60" spans="2:69" ht="18" customHeight="1">
      <c r="B60" s="12">
        <v>60</v>
      </c>
      <c r="C60" s="12"/>
      <c r="D60" s="11" t="s">
        <v>162</v>
      </c>
      <c r="E60" s="10" t="s">
        <v>108</v>
      </c>
      <c r="F60" s="11" t="s">
        <v>166</v>
      </c>
      <c r="G60" s="11"/>
      <c r="H60" s="11" t="s">
        <v>75</v>
      </c>
      <c r="I60" s="13">
        <v>0.5</v>
      </c>
      <c r="J60" s="24"/>
      <c r="K60" s="12"/>
      <c r="L60" s="12"/>
      <c r="M60" s="12" t="s">
        <v>14</v>
      </c>
      <c r="N60" s="12" t="s">
        <v>43</v>
      </c>
      <c r="O60" s="12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37">
        <f t="shared" si="96"/>
        <v>0</v>
      </c>
      <c r="AC60" s="29"/>
      <c r="AD60" s="38">
        <f t="shared" si="86"/>
        <v>0</v>
      </c>
      <c r="AE60" s="38">
        <f t="shared" si="87"/>
        <v>0</v>
      </c>
      <c r="AF60" s="38">
        <f t="shared" si="71"/>
        <v>0</v>
      </c>
      <c r="AG60" s="38">
        <f t="shared" si="72"/>
        <v>0</v>
      </c>
      <c r="AH60" s="38">
        <f t="shared" si="88"/>
        <v>0</v>
      </c>
      <c r="AI60" s="38">
        <f t="shared" si="89"/>
        <v>0</v>
      </c>
      <c r="AJ60" s="38">
        <f t="shared" si="90"/>
        <v>0</v>
      </c>
      <c r="AK60" s="38">
        <f t="shared" si="91"/>
        <v>0</v>
      </c>
      <c r="AL60" s="38">
        <f t="shared" si="92"/>
        <v>0</v>
      </c>
      <c r="AM60" s="38">
        <f t="shared" si="93"/>
        <v>0</v>
      </c>
      <c r="AN60" s="38">
        <f t="shared" si="94"/>
        <v>0</v>
      </c>
      <c r="AO60" s="38">
        <f t="shared" si="95"/>
        <v>0</v>
      </c>
      <c r="AP60" s="39">
        <f t="shared" si="75"/>
        <v>0</v>
      </c>
      <c r="AQ60" s="29"/>
      <c r="AR60" s="15" t="str">
        <f t="shared" si="76"/>
        <v/>
      </c>
      <c r="AS60" s="15" t="str">
        <f t="shared" si="77"/>
        <v/>
      </c>
      <c r="AT60" s="15" t="str">
        <f t="shared" si="78"/>
        <v/>
      </c>
      <c r="AU60" s="15" t="str">
        <f t="shared" si="73"/>
        <v/>
      </c>
      <c r="AV60" s="15" t="str">
        <f t="shared" si="74"/>
        <v/>
      </c>
      <c r="AW60" s="15" t="str">
        <f t="shared" si="79"/>
        <v/>
      </c>
      <c r="AX60" s="15" t="str">
        <f t="shared" si="80"/>
        <v/>
      </c>
      <c r="AY60" s="15" t="str">
        <f t="shared" si="81"/>
        <v/>
      </c>
      <c r="AZ60" s="15" t="str">
        <f t="shared" si="82"/>
        <v/>
      </c>
      <c r="BA60" s="15" t="str">
        <f t="shared" si="83"/>
        <v/>
      </c>
      <c r="BB60" s="15" t="str">
        <f t="shared" si="84"/>
        <v/>
      </c>
      <c r="BC60" s="15" t="str">
        <f t="shared" si="85"/>
        <v/>
      </c>
      <c r="BE60" s="14">
        <f t="shared" si="9"/>
        <v>0</v>
      </c>
      <c r="BF60" s="14">
        <f t="shared" si="10"/>
        <v>0</v>
      </c>
      <c r="BG60" s="14">
        <f t="shared" si="11"/>
        <v>0</v>
      </c>
      <c r="BH60" s="14">
        <f t="shared" si="12"/>
        <v>0</v>
      </c>
      <c r="BI60" s="14">
        <f t="shared" si="13"/>
        <v>0</v>
      </c>
      <c r="BJ60" s="14">
        <f t="shared" si="14"/>
        <v>0</v>
      </c>
      <c r="BK60" s="14">
        <f t="shared" si="15"/>
        <v>0</v>
      </c>
      <c r="BL60" s="14">
        <f t="shared" si="16"/>
        <v>0</v>
      </c>
      <c r="BM60" s="14">
        <f t="shared" si="17"/>
        <v>0</v>
      </c>
      <c r="BN60" s="14">
        <f t="shared" si="18"/>
        <v>0</v>
      </c>
      <c r="BO60" s="14">
        <f t="shared" si="19"/>
        <v>0</v>
      </c>
      <c r="BP60" s="14">
        <f t="shared" si="20"/>
        <v>0</v>
      </c>
      <c r="BQ60" s="37">
        <f t="shared" si="97"/>
        <v>0</v>
      </c>
    </row>
    <row r="61" spans="2:69" ht="18" customHeight="1">
      <c r="B61" s="12">
        <v>2</v>
      </c>
      <c r="C61" s="12"/>
      <c r="D61" s="10" t="s">
        <v>167</v>
      </c>
      <c r="E61" s="10" t="s">
        <v>108</v>
      </c>
      <c r="F61" s="11" t="s">
        <v>107</v>
      </c>
      <c r="G61" s="11" t="s">
        <v>110</v>
      </c>
      <c r="H61" s="11" t="s">
        <v>75</v>
      </c>
      <c r="I61" s="13">
        <v>0.3</v>
      </c>
      <c r="J61" s="13">
        <v>0.5</v>
      </c>
      <c r="K61" s="12"/>
      <c r="L61" s="12"/>
      <c r="M61" s="12" t="s">
        <v>76</v>
      </c>
      <c r="N61" s="12" t="s">
        <v>72</v>
      </c>
      <c r="O61" s="12"/>
      <c r="P61" s="14">
        <v>0</v>
      </c>
      <c r="Q61" s="14">
        <v>0</v>
      </c>
      <c r="R61" s="14">
        <v>0</v>
      </c>
      <c r="S61" s="14">
        <v>0</v>
      </c>
      <c r="T61" s="14">
        <v>0</v>
      </c>
      <c r="U61" s="14"/>
      <c r="V61" s="14">
        <v>640</v>
      </c>
      <c r="W61" s="14">
        <v>640</v>
      </c>
      <c r="X61" s="14">
        <v>640</v>
      </c>
      <c r="Y61" s="14">
        <v>640</v>
      </c>
      <c r="Z61" s="14">
        <v>640</v>
      </c>
      <c r="AA61" s="14">
        <v>640</v>
      </c>
      <c r="AB61" s="37">
        <f t="shared" si="96"/>
        <v>3840</v>
      </c>
      <c r="AC61" s="29"/>
      <c r="AD61" s="38">
        <f t="shared" si="86"/>
        <v>0</v>
      </c>
      <c r="AE61" s="38">
        <f t="shared" si="87"/>
        <v>0</v>
      </c>
      <c r="AF61" s="38">
        <f t="shared" si="71"/>
        <v>0</v>
      </c>
      <c r="AG61" s="38">
        <f t="shared" si="72"/>
        <v>0</v>
      </c>
      <c r="AH61" s="38">
        <f t="shared" si="88"/>
        <v>0</v>
      </c>
      <c r="AI61" s="38">
        <f t="shared" si="89"/>
        <v>0</v>
      </c>
      <c r="AJ61" s="38">
        <f t="shared" si="90"/>
        <v>320</v>
      </c>
      <c r="AK61" s="38">
        <f t="shared" si="91"/>
        <v>320</v>
      </c>
      <c r="AL61" s="38">
        <f t="shared" si="92"/>
        <v>320</v>
      </c>
      <c r="AM61" s="38">
        <f t="shared" si="93"/>
        <v>320</v>
      </c>
      <c r="AN61" s="38">
        <f t="shared" si="94"/>
        <v>320</v>
      </c>
      <c r="AO61" s="38">
        <f t="shared" si="95"/>
        <v>320</v>
      </c>
      <c r="AP61" s="39">
        <f t="shared" si="75"/>
        <v>1920</v>
      </c>
      <c r="AQ61" s="29"/>
      <c r="AR61" s="15" t="str">
        <f t="shared" si="76"/>
        <v/>
      </c>
      <c r="AS61" s="15" t="str">
        <f t="shared" si="77"/>
        <v/>
      </c>
      <c r="AT61" s="15" t="str">
        <f t="shared" si="78"/>
        <v/>
      </c>
      <c r="AU61" s="15" t="str">
        <f t="shared" si="73"/>
        <v/>
      </c>
      <c r="AV61" s="15" t="str">
        <f t="shared" si="74"/>
        <v/>
      </c>
      <c r="AW61" s="15" t="str">
        <f t="shared" si="79"/>
        <v/>
      </c>
      <c r="AX61" s="15">
        <f t="shared" si="80"/>
        <v>0.5</v>
      </c>
      <c r="AY61" s="15">
        <f t="shared" si="81"/>
        <v>0.5</v>
      </c>
      <c r="AZ61" s="15">
        <f t="shared" si="82"/>
        <v>0.5</v>
      </c>
      <c r="BA61" s="15">
        <f t="shared" si="83"/>
        <v>0.5</v>
      </c>
      <c r="BB61" s="15">
        <f t="shared" si="84"/>
        <v>0.5</v>
      </c>
      <c r="BC61" s="15">
        <f t="shared" si="85"/>
        <v>0.5</v>
      </c>
      <c r="BE61" s="14">
        <f t="shared" si="9"/>
        <v>0</v>
      </c>
      <c r="BF61" s="14">
        <f t="shared" si="10"/>
        <v>0</v>
      </c>
      <c r="BG61" s="14">
        <f t="shared" si="11"/>
        <v>0</v>
      </c>
      <c r="BH61" s="14">
        <f t="shared" si="12"/>
        <v>0</v>
      </c>
      <c r="BI61" s="14">
        <f t="shared" si="13"/>
        <v>0</v>
      </c>
      <c r="BJ61" s="14">
        <f t="shared" si="14"/>
        <v>0</v>
      </c>
      <c r="BK61" s="14">
        <f t="shared" si="15"/>
        <v>192</v>
      </c>
      <c r="BL61" s="14">
        <f t="shared" si="16"/>
        <v>192</v>
      </c>
      <c r="BM61" s="14">
        <f t="shared" si="17"/>
        <v>192</v>
      </c>
      <c r="BN61" s="14">
        <f t="shared" si="18"/>
        <v>192</v>
      </c>
      <c r="BO61" s="14">
        <f t="shared" si="19"/>
        <v>192</v>
      </c>
      <c r="BP61" s="14">
        <f t="shared" si="20"/>
        <v>192</v>
      </c>
      <c r="BQ61" s="37">
        <f t="shared" si="97"/>
        <v>1152</v>
      </c>
    </row>
    <row r="62" spans="2:69" ht="18" customHeight="1">
      <c r="B62" s="12">
        <v>63</v>
      </c>
      <c r="C62" s="12"/>
      <c r="D62" s="11" t="s">
        <v>168</v>
      </c>
      <c r="E62" s="11"/>
      <c r="F62" s="11"/>
      <c r="G62" s="11"/>
      <c r="H62" s="11" t="s">
        <v>75</v>
      </c>
      <c r="I62" s="24"/>
      <c r="J62" s="24"/>
      <c r="K62" s="12"/>
      <c r="L62" s="12"/>
      <c r="M62" s="12" t="s">
        <v>76</v>
      </c>
      <c r="N62" s="12" t="s">
        <v>72</v>
      </c>
      <c r="O62" s="12"/>
      <c r="P62" s="14"/>
      <c r="Q62" s="14"/>
      <c r="R62" s="14"/>
      <c r="S62" s="14"/>
      <c r="T62" s="14"/>
      <c r="U62" s="14">
        <v>100</v>
      </c>
      <c r="V62" s="14"/>
      <c r="W62" s="14"/>
      <c r="X62" s="14"/>
      <c r="Y62" s="14"/>
      <c r="Z62" s="14"/>
      <c r="AA62" s="14"/>
      <c r="AB62" s="37">
        <f t="shared" si="96"/>
        <v>100</v>
      </c>
      <c r="AC62" s="29"/>
      <c r="AD62" s="38">
        <f t="shared" si="86"/>
        <v>0</v>
      </c>
      <c r="AE62" s="38">
        <f t="shared" si="87"/>
        <v>0</v>
      </c>
      <c r="AF62" s="38">
        <f t="shared" si="71"/>
        <v>0</v>
      </c>
      <c r="AG62" s="38">
        <f t="shared" si="72"/>
        <v>0</v>
      </c>
      <c r="AH62" s="38">
        <f t="shared" si="88"/>
        <v>0</v>
      </c>
      <c r="AI62" s="38">
        <f t="shared" si="89"/>
        <v>0</v>
      </c>
      <c r="AJ62" s="38">
        <f t="shared" si="90"/>
        <v>0</v>
      </c>
      <c r="AK62" s="38">
        <f t="shared" si="91"/>
        <v>0</v>
      </c>
      <c r="AL62" s="38">
        <f t="shared" si="92"/>
        <v>0</v>
      </c>
      <c r="AM62" s="38">
        <f t="shared" si="93"/>
        <v>0</v>
      </c>
      <c r="AN62" s="38">
        <f t="shared" si="94"/>
        <v>0</v>
      </c>
      <c r="AO62" s="38">
        <f t="shared" si="95"/>
        <v>0</v>
      </c>
      <c r="AP62" s="39">
        <f t="shared" si="75"/>
        <v>0</v>
      </c>
      <c r="AQ62" s="29"/>
      <c r="AR62" s="15" t="str">
        <f t="shared" si="76"/>
        <v/>
      </c>
      <c r="AS62" s="15" t="str">
        <f t="shared" si="77"/>
        <v/>
      </c>
      <c r="AT62" s="15" t="str">
        <f t="shared" si="78"/>
        <v/>
      </c>
      <c r="AU62" s="15" t="str">
        <f t="shared" si="73"/>
        <v/>
      </c>
      <c r="AV62" s="15" t="str">
        <f t="shared" si="74"/>
        <v/>
      </c>
      <c r="AW62" s="15">
        <f t="shared" si="79"/>
        <v>1</v>
      </c>
      <c r="AX62" s="15" t="str">
        <f t="shared" si="80"/>
        <v/>
      </c>
      <c r="AY62" s="15" t="str">
        <f t="shared" si="81"/>
        <v/>
      </c>
      <c r="AZ62" s="15" t="str">
        <f t="shared" si="82"/>
        <v/>
      </c>
      <c r="BA62" s="15" t="str">
        <f t="shared" si="83"/>
        <v/>
      </c>
      <c r="BB62" s="15" t="str">
        <f t="shared" si="84"/>
        <v/>
      </c>
      <c r="BC62" s="15" t="str">
        <f t="shared" si="85"/>
        <v/>
      </c>
      <c r="BE62" s="14">
        <f t="shared" si="9"/>
        <v>0</v>
      </c>
      <c r="BF62" s="14">
        <f t="shared" si="10"/>
        <v>0</v>
      </c>
      <c r="BG62" s="14">
        <f t="shared" si="11"/>
        <v>0</v>
      </c>
      <c r="BH62" s="14">
        <f t="shared" si="12"/>
        <v>0</v>
      </c>
      <c r="BI62" s="14">
        <f t="shared" si="13"/>
        <v>0</v>
      </c>
      <c r="BJ62" s="14">
        <f t="shared" si="14"/>
        <v>0</v>
      </c>
      <c r="BK62" s="14">
        <f t="shared" si="15"/>
        <v>0</v>
      </c>
      <c r="BL62" s="14">
        <f t="shared" si="16"/>
        <v>0</v>
      </c>
      <c r="BM62" s="14">
        <f t="shared" si="17"/>
        <v>0</v>
      </c>
      <c r="BN62" s="14">
        <f t="shared" si="18"/>
        <v>0</v>
      </c>
      <c r="BO62" s="14">
        <f t="shared" si="19"/>
        <v>0</v>
      </c>
      <c r="BP62" s="14">
        <f t="shared" si="20"/>
        <v>0</v>
      </c>
      <c r="BQ62" s="37">
        <f t="shared" si="97"/>
        <v>0</v>
      </c>
    </row>
    <row r="63" spans="2:69" ht="18" customHeight="1">
      <c r="B63" s="12">
        <v>64</v>
      </c>
      <c r="C63" s="12"/>
      <c r="D63" s="11" t="s">
        <v>169</v>
      </c>
      <c r="E63" s="11"/>
      <c r="F63" s="11"/>
      <c r="G63" s="11"/>
      <c r="H63" s="11" t="s">
        <v>75</v>
      </c>
      <c r="I63" s="24"/>
      <c r="J63" s="24"/>
      <c r="K63" s="12"/>
      <c r="L63" s="12"/>
      <c r="M63" s="12" t="s">
        <v>76</v>
      </c>
      <c r="N63" s="12" t="s">
        <v>72</v>
      </c>
      <c r="O63" s="12"/>
      <c r="P63" s="14"/>
      <c r="Q63" s="14"/>
      <c r="R63" s="14"/>
      <c r="S63" s="14"/>
      <c r="T63" s="14"/>
      <c r="U63" s="14"/>
      <c r="V63" s="14"/>
      <c r="W63" s="14"/>
      <c r="X63" s="14">
        <v>300</v>
      </c>
      <c r="Y63" s="14">
        <v>300</v>
      </c>
      <c r="Z63" s="14">
        <v>300</v>
      </c>
      <c r="AA63" s="14">
        <v>300</v>
      </c>
      <c r="AB63" s="37">
        <f t="shared" si="96"/>
        <v>1200</v>
      </c>
      <c r="AC63" s="29"/>
      <c r="AD63" s="38">
        <f t="shared" si="86"/>
        <v>0</v>
      </c>
      <c r="AE63" s="38">
        <f t="shared" si="87"/>
        <v>0</v>
      </c>
      <c r="AF63" s="38">
        <f t="shared" si="71"/>
        <v>0</v>
      </c>
      <c r="AG63" s="38">
        <f t="shared" si="72"/>
        <v>0</v>
      </c>
      <c r="AH63" s="38">
        <f t="shared" si="88"/>
        <v>0</v>
      </c>
      <c r="AI63" s="38">
        <f t="shared" si="89"/>
        <v>0</v>
      </c>
      <c r="AJ63" s="38">
        <f t="shared" si="90"/>
        <v>0</v>
      </c>
      <c r="AK63" s="38">
        <f t="shared" si="91"/>
        <v>0</v>
      </c>
      <c r="AL63" s="38">
        <f t="shared" si="92"/>
        <v>0</v>
      </c>
      <c r="AM63" s="38">
        <f t="shared" si="93"/>
        <v>0</v>
      </c>
      <c r="AN63" s="38">
        <f t="shared" si="94"/>
        <v>0</v>
      </c>
      <c r="AO63" s="38">
        <f t="shared" si="95"/>
        <v>0</v>
      </c>
      <c r="AP63" s="39">
        <f t="shared" si="75"/>
        <v>0</v>
      </c>
      <c r="AQ63" s="29"/>
      <c r="AR63" s="15" t="str">
        <f t="shared" si="76"/>
        <v/>
      </c>
      <c r="AS63" s="15" t="str">
        <f t="shared" si="77"/>
        <v/>
      </c>
      <c r="AT63" s="15" t="str">
        <f t="shared" si="78"/>
        <v/>
      </c>
      <c r="AU63" s="15" t="str">
        <f t="shared" si="73"/>
        <v/>
      </c>
      <c r="AV63" s="15" t="str">
        <f t="shared" si="74"/>
        <v/>
      </c>
      <c r="AW63" s="15" t="str">
        <f t="shared" si="79"/>
        <v/>
      </c>
      <c r="AX63" s="15" t="str">
        <f t="shared" si="80"/>
        <v/>
      </c>
      <c r="AY63" s="15" t="str">
        <f t="shared" si="81"/>
        <v/>
      </c>
      <c r="AZ63" s="15">
        <f t="shared" si="82"/>
        <v>1</v>
      </c>
      <c r="BA63" s="15">
        <f t="shared" si="83"/>
        <v>1</v>
      </c>
      <c r="BB63" s="15">
        <f t="shared" si="84"/>
        <v>1</v>
      </c>
      <c r="BC63" s="15">
        <f t="shared" si="85"/>
        <v>1</v>
      </c>
      <c r="BE63" s="14">
        <f t="shared" si="9"/>
        <v>0</v>
      </c>
      <c r="BF63" s="14">
        <f t="shared" si="10"/>
        <v>0</v>
      </c>
      <c r="BG63" s="14">
        <f t="shared" si="11"/>
        <v>0</v>
      </c>
      <c r="BH63" s="14">
        <f t="shared" si="12"/>
        <v>0</v>
      </c>
      <c r="BI63" s="14">
        <f t="shared" si="13"/>
        <v>0</v>
      </c>
      <c r="BJ63" s="14">
        <f t="shared" si="14"/>
        <v>0</v>
      </c>
      <c r="BK63" s="14">
        <f t="shared" si="15"/>
        <v>0</v>
      </c>
      <c r="BL63" s="14">
        <f t="shared" si="16"/>
        <v>0</v>
      </c>
      <c r="BM63" s="14">
        <f t="shared" si="17"/>
        <v>0</v>
      </c>
      <c r="BN63" s="14">
        <f t="shared" si="18"/>
        <v>0</v>
      </c>
      <c r="BO63" s="14">
        <f t="shared" si="19"/>
        <v>0</v>
      </c>
      <c r="BP63" s="14">
        <f t="shared" si="20"/>
        <v>0</v>
      </c>
      <c r="BQ63" s="37">
        <f t="shared" si="97"/>
        <v>0</v>
      </c>
    </row>
    <row r="64" spans="2:69" ht="18" customHeight="1">
      <c r="B64" s="12">
        <v>65</v>
      </c>
      <c r="C64" s="12"/>
      <c r="D64" s="11"/>
      <c r="E64" s="11"/>
      <c r="F64" s="11"/>
      <c r="G64" s="11"/>
      <c r="H64" s="11"/>
      <c r="I64" s="24"/>
      <c r="J64" s="24"/>
      <c r="K64" s="12"/>
      <c r="L64" s="12"/>
      <c r="M64" s="12"/>
      <c r="N64" s="12"/>
      <c r="O64" s="12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37">
        <f t="shared" si="96"/>
        <v>0</v>
      </c>
      <c r="AC64" s="29"/>
      <c r="AD64" s="38">
        <f t="shared" si="86"/>
        <v>0</v>
      </c>
      <c r="AE64" s="38">
        <f t="shared" si="87"/>
        <v>0</v>
      </c>
      <c r="AF64" s="38">
        <f t="shared" si="71"/>
        <v>0</v>
      </c>
      <c r="AG64" s="38">
        <f t="shared" si="72"/>
        <v>0</v>
      </c>
      <c r="AH64" s="38">
        <f t="shared" si="88"/>
        <v>0</v>
      </c>
      <c r="AI64" s="38">
        <f t="shared" si="89"/>
        <v>0</v>
      </c>
      <c r="AJ64" s="38">
        <f t="shared" si="90"/>
        <v>0</v>
      </c>
      <c r="AK64" s="38">
        <f t="shared" si="91"/>
        <v>0</v>
      </c>
      <c r="AL64" s="38">
        <f t="shared" si="92"/>
        <v>0</v>
      </c>
      <c r="AM64" s="38">
        <f t="shared" si="93"/>
        <v>0</v>
      </c>
      <c r="AN64" s="38">
        <f t="shared" si="94"/>
        <v>0</v>
      </c>
      <c r="AO64" s="38">
        <f t="shared" si="95"/>
        <v>0</v>
      </c>
      <c r="AP64" s="39">
        <f t="shared" si="75"/>
        <v>0</v>
      </c>
      <c r="AQ64" s="29"/>
      <c r="AR64" s="15" t="str">
        <f t="shared" si="76"/>
        <v/>
      </c>
      <c r="AS64" s="15" t="str">
        <f t="shared" si="77"/>
        <v/>
      </c>
      <c r="AT64" s="15" t="str">
        <f t="shared" si="78"/>
        <v/>
      </c>
      <c r="AU64" s="15" t="str">
        <f t="shared" si="73"/>
        <v/>
      </c>
      <c r="AV64" s="15" t="str">
        <f t="shared" si="74"/>
        <v/>
      </c>
      <c r="AW64" s="15" t="str">
        <f t="shared" si="79"/>
        <v/>
      </c>
      <c r="AX64" s="15" t="str">
        <f t="shared" si="80"/>
        <v/>
      </c>
      <c r="AY64" s="15" t="str">
        <f t="shared" si="81"/>
        <v/>
      </c>
      <c r="AZ64" s="15" t="str">
        <f t="shared" si="82"/>
        <v/>
      </c>
      <c r="BA64" s="15" t="str">
        <f t="shared" si="83"/>
        <v/>
      </c>
      <c r="BB64" s="15" t="str">
        <f t="shared" si="84"/>
        <v/>
      </c>
      <c r="BC64" s="15" t="str">
        <f t="shared" si="85"/>
        <v/>
      </c>
      <c r="BE64" s="14">
        <f t="shared" si="9"/>
        <v>0</v>
      </c>
      <c r="BF64" s="14">
        <f t="shared" si="10"/>
        <v>0</v>
      </c>
      <c r="BG64" s="14">
        <f t="shared" si="11"/>
        <v>0</v>
      </c>
      <c r="BH64" s="14">
        <f t="shared" si="12"/>
        <v>0</v>
      </c>
      <c r="BI64" s="14">
        <f t="shared" si="13"/>
        <v>0</v>
      </c>
      <c r="BJ64" s="14">
        <f t="shared" si="14"/>
        <v>0</v>
      </c>
      <c r="BK64" s="14">
        <f t="shared" si="15"/>
        <v>0</v>
      </c>
      <c r="BL64" s="14">
        <f t="shared" si="16"/>
        <v>0</v>
      </c>
      <c r="BM64" s="14">
        <f t="shared" si="17"/>
        <v>0</v>
      </c>
      <c r="BN64" s="14">
        <f t="shared" si="18"/>
        <v>0</v>
      </c>
      <c r="BO64" s="14">
        <f t="shared" si="19"/>
        <v>0</v>
      </c>
      <c r="BP64" s="14">
        <f t="shared" si="20"/>
        <v>0</v>
      </c>
      <c r="BQ64" s="37">
        <f t="shared" si="97"/>
        <v>0</v>
      </c>
    </row>
    <row r="65" spans="2:69" ht="18" customHeight="1">
      <c r="B65" s="12">
        <v>66</v>
      </c>
      <c r="C65" s="12"/>
      <c r="D65" s="11"/>
      <c r="E65" s="11"/>
      <c r="F65" s="11"/>
      <c r="G65" s="11"/>
      <c r="H65" s="11"/>
      <c r="I65" s="24"/>
      <c r="J65" s="24"/>
      <c r="K65" s="12"/>
      <c r="L65" s="12"/>
      <c r="M65" s="12"/>
      <c r="N65" s="12"/>
      <c r="O65" s="12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37">
        <f t="shared" si="96"/>
        <v>0</v>
      </c>
      <c r="AC65" s="29"/>
      <c r="AD65" s="38">
        <f t="shared" si="86"/>
        <v>0</v>
      </c>
      <c r="AE65" s="38">
        <f t="shared" si="87"/>
        <v>0</v>
      </c>
      <c r="AF65" s="38">
        <f t="shared" si="71"/>
        <v>0</v>
      </c>
      <c r="AG65" s="38">
        <f t="shared" si="72"/>
        <v>0</v>
      </c>
      <c r="AH65" s="38">
        <f t="shared" si="88"/>
        <v>0</v>
      </c>
      <c r="AI65" s="38">
        <f t="shared" si="89"/>
        <v>0</v>
      </c>
      <c r="AJ65" s="38">
        <f t="shared" si="90"/>
        <v>0</v>
      </c>
      <c r="AK65" s="38">
        <f t="shared" si="91"/>
        <v>0</v>
      </c>
      <c r="AL65" s="38">
        <f t="shared" si="92"/>
        <v>0</v>
      </c>
      <c r="AM65" s="38">
        <f t="shared" si="93"/>
        <v>0</v>
      </c>
      <c r="AN65" s="38">
        <f t="shared" si="94"/>
        <v>0</v>
      </c>
      <c r="AO65" s="38">
        <f t="shared" si="95"/>
        <v>0</v>
      </c>
      <c r="AP65" s="39">
        <f t="shared" si="75"/>
        <v>0</v>
      </c>
      <c r="AQ65" s="29"/>
      <c r="AR65" s="15" t="str">
        <f t="shared" si="76"/>
        <v/>
      </c>
      <c r="AS65" s="15" t="str">
        <f t="shared" si="77"/>
        <v/>
      </c>
      <c r="AT65" s="15" t="str">
        <f t="shared" si="78"/>
        <v/>
      </c>
      <c r="AU65" s="15" t="str">
        <f t="shared" si="73"/>
        <v/>
      </c>
      <c r="AV65" s="15" t="str">
        <f t="shared" si="74"/>
        <v/>
      </c>
      <c r="AW65" s="15" t="str">
        <f t="shared" si="79"/>
        <v/>
      </c>
      <c r="AX65" s="15" t="str">
        <f t="shared" si="80"/>
        <v/>
      </c>
      <c r="AY65" s="15" t="str">
        <f t="shared" si="81"/>
        <v/>
      </c>
      <c r="AZ65" s="15" t="str">
        <f t="shared" si="82"/>
        <v/>
      </c>
      <c r="BA65" s="15" t="str">
        <f t="shared" si="83"/>
        <v/>
      </c>
      <c r="BB65" s="15" t="str">
        <f t="shared" si="84"/>
        <v/>
      </c>
      <c r="BC65" s="15" t="str">
        <f t="shared" si="85"/>
        <v/>
      </c>
      <c r="BE65" s="14">
        <f t="shared" si="9"/>
        <v>0</v>
      </c>
      <c r="BF65" s="14">
        <f t="shared" si="10"/>
        <v>0</v>
      </c>
      <c r="BG65" s="14">
        <f t="shared" si="11"/>
        <v>0</v>
      </c>
      <c r="BH65" s="14">
        <f t="shared" si="12"/>
        <v>0</v>
      </c>
      <c r="BI65" s="14">
        <f t="shared" si="13"/>
        <v>0</v>
      </c>
      <c r="BJ65" s="14">
        <f t="shared" si="14"/>
        <v>0</v>
      </c>
      <c r="BK65" s="14">
        <f t="shared" si="15"/>
        <v>0</v>
      </c>
      <c r="BL65" s="14">
        <f t="shared" si="16"/>
        <v>0</v>
      </c>
      <c r="BM65" s="14">
        <f t="shared" si="17"/>
        <v>0</v>
      </c>
      <c r="BN65" s="14">
        <f t="shared" si="18"/>
        <v>0</v>
      </c>
      <c r="BO65" s="14">
        <f t="shared" si="19"/>
        <v>0</v>
      </c>
      <c r="BP65" s="14">
        <f t="shared" si="20"/>
        <v>0</v>
      </c>
      <c r="BQ65" s="37">
        <f t="shared" si="97"/>
        <v>0</v>
      </c>
    </row>
    <row r="66" spans="2:69" ht="18" customHeight="1">
      <c r="B66" s="12">
        <v>67</v>
      </c>
      <c r="C66" s="12"/>
      <c r="D66" s="11"/>
      <c r="E66" s="11"/>
      <c r="F66" s="11"/>
      <c r="G66" s="11"/>
      <c r="H66" s="11"/>
      <c r="I66" s="24"/>
      <c r="J66" s="24"/>
      <c r="K66" s="12"/>
      <c r="L66" s="12"/>
      <c r="M66" s="12"/>
      <c r="N66" s="12"/>
      <c r="O66" s="12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37">
        <f t="shared" si="96"/>
        <v>0</v>
      </c>
      <c r="AC66" s="29"/>
      <c r="AD66" s="38">
        <f t="shared" si="86"/>
        <v>0</v>
      </c>
      <c r="AE66" s="38">
        <f t="shared" si="87"/>
        <v>0</v>
      </c>
      <c r="AF66" s="38">
        <f t="shared" si="71"/>
        <v>0</v>
      </c>
      <c r="AG66" s="38">
        <f t="shared" si="72"/>
        <v>0</v>
      </c>
      <c r="AH66" s="38">
        <f t="shared" si="88"/>
        <v>0</v>
      </c>
      <c r="AI66" s="38">
        <f t="shared" si="89"/>
        <v>0</v>
      </c>
      <c r="AJ66" s="38">
        <f t="shared" si="90"/>
        <v>0</v>
      </c>
      <c r="AK66" s="38">
        <f t="shared" si="91"/>
        <v>0</v>
      </c>
      <c r="AL66" s="38">
        <f t="shared" si="92"/>
        <v>0</v>
      </c>
      <c r="AM66" s="38">
        <f t="shared" si="93"/>
        <v>0</v>
      </c>
      <c r="AN66" s="38">
        <f t="shared" si="94"/>
        <v>0</v>
      </c>
      <c r="AO66" s="38">
        <f t="shared" si="95"/>
        <v>0</v>
      </c>
      <c r="AP66" s="39">
        <f t="shared" si="75"/>
        <v>0</v>
      </c>
      <c r="AQ66" s="29"/>
      <c r="AR66" s="15" t="str">
        <f t="shared" si="76"/>
        <v/>
      </c>
      <c r="AS66" s="15" t="str">
        <f t="shared" si="77"/>
        <v/>
      </c>
      <c r="AT66" s="15" t="str">
        <f t="shared" si="78"/>
        <v/>
      </c>
      <c r="AU66" s="15" t="str">
        <f t="shared" si="73"/>
        <v/>
      </c>
      <c r="AV66" s="15" t="str">
        <f t="shared" si="74"/>
        <v/>
      </c>
      <c r="AW66" s="15" t="str">
        <f t="shared" si="79"/>
        <v/>
      </c>
      <c r="AX66" s="15" t="str">
        <f t="shared" si="80"/>
        <v/>
      </c>
      <c r="AY66" s="15" t="str">
        <f t="shared" si="81"/>
        <v/>
      </c>
      <c r="AZ66" s="15" t="str">
        <f t="shared" si="82"/>
        <v/>
      </c>
      <c r="BA66" s="15" t="str">
        <f t="shared" si="83"/>
        <v/>
      </c>
      <c r="BB66" s="15" t="str">
        <f t="shared" si="84"/>
        <v/>
      </c>
      <c r="BC66" s="15" t="str">
        <f t="shared" si="85"/>
        <v/>
      </c>
      <c r="BE66" s="14">
        <f t="shared" si="9"/>
        <v>0</v>
      </c>
      <c r="BF66" s="14">
        <f t="shared" si="10"/>
        <v>0</v>
      </c>
      <c r="BG66" s="14">
        <f t="shared" si="11"/>
        <v>0</v>
      </c>
      <c r="BH66" s="14">
        <f t="shared" si="12"/>
        <v>0</v>
      </c>
      <c r="BI66" s="14">
        <f t="shared" si="13"/>
        <v>0</v>
      </c>
      <c r="BJ66" s="14">
        <f t="shared" si="14"/>
        <v>0</v>
      </c>
      <c r="BK66" s="14">
        <f t="shared" si="15"/>
        <v>0</v>
      </c>
      <c r="BL66" s="14">
        <f t="shared" si="16"/>
        <v>0</v>
      </c>
      <c r="BM66" s="14">
        <f t="shared" si="17"/>
        <v>0</v>
      </c>
      <c r="BN66" s="14">
        <f t="shared" si="18"/>
        <v>0</v>
      </c>
      <c r="BO66" s="14">
        <f t="shared" si="19"/>
        <v>0</v>
      </c>
      <c r="BP66" s="14">
        <f t="shared" si="20"/>
        <v>0</v>
      </c>
      <c r="BQ66" s="37">
        <f t="shared" si="97"/>
        <v>0</v>
      </c>
    </row>
    <row r="67" spans="2:69" ht="18" customHeight="1">
      <c r="B67" s="12">
        <v>68</v>
      </c>
      <c r="C67" s="12"/>
      <c r="D67" s="11"/>
      <c r="E67" s="11"/>
      <c r="F67" s="11"/>
      <c r="G67" s="11"/>
      <c r="H67" s="11"/>
      <c r="I67" s="24"/>
      <c r="J67" s="24"/>
      <c r="K67" s="12"/>
      <c r="L67" s="12"/>
      <c r="M67" s="12"/>
      <c r="N67" s="12"/>
      <c r="O67" s="12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37">
        <f t="shared" si="96"/>
        <v>0</v>
      </c>
      <c r="AC67" s="29"/>
      <c r="AD67" s="38">
        <f t="shared" si="86"/>
        <v>0</v>
      </c>
      <c r="AE67" s="38">
        <f t="shared" si="87"/>
        <v>0</v>
      </c>
      <c r="AF67" s="38">
        <f t="shared" si="71"/>
        <v>0</v>
      </c>
      <c r="AG67" s="38">
        <f t="shared" si="72"/>
        <v>0</v>
      </c>
      <c r="AH67" s="38">
        <f t="shared" si="88"/>
        <v>0</v>
      </c>
      <c r="AI67" s="38">
        <f t="shared" si="89"/>
        <v>0</v>
      </c>
      <c r="AJ67" s="38">
        <f t="shared" si="90"/>
        <v>0</v>
      </c>
      <c r="AK67" s="38">
        <f t="shared" si="91"/>
        <v>0</v>
      </c>
      <c r="AL67" s="38">
        <f t="shared" si="92"/>
        <v>0</v>
      </c>
      <c r="AM67" s="38">
        <f t="shared" si="93"/>
        <v>0</v>
      </c>
      <c r="AN67" s="38">
        <f t="shared" si="94"/>
        <v>0</v>
      </c>
      <c r="AO67" s="38">
        <f t="shared" si="95"/>
        <v>0</v>
      </c>
      <c r="AP67" s="39">
        <f t="shared" si="75"/>
        <v>0</v>
      </c>
      <c r="AQ67" s="29"/>
      <c r="AR67" s="15" t="str">
        <f t="shared" si="76"/>
        <v/>
      </c>
      <c r="AS67" s="15" t="str">
        <f t="shared" si="77"/>
        <v/>
      </c>
      <c r="AT67" s="15" t="str">
        <f t="shared" si="78"/>
        <v/>
      </c>
      <c r="AU67" s="15" t="str">
        <f t="shared" si="73"/>
        <v/>
      </c>
      <c r="AV67" s="15" t="str">
        <f t="shared" si="74"/>
        <v/>
      </c>
      <c r="AW67" s="15" t="str">
        <f t="shared" si="79"/>
        <v/>
      </c>
      <c r="AX67" s="15" t="str">
        <f t="shared" si="80"/>
        <v/>
      </c>
      <c r="AY67" s="15" t="str">
        <f t="shared" si="81"/>
        <v/>
      </c>
      <c r="AZ67" s="15" t="str">
        <f t="shared" si="82"/>
        <v/>
      </c>
      <c r="BA67" s="15" t="str">
        <f t="shared" si="83"/>
        <v/>
      </c>
      <c r="BB67" s="15" t="str">
        <f t="shared" si="84"/>
        <v/>
      </c>
      <c r="BC67" s="15" t="str">
        <f t="shared" si="85"/>
        <v/>
      </c>
      <c r="BE67" s="14">
        <f t="shared" si="9"/>
        <v>0</v>
      </c>
      <c r="BF67" s="14">
        <f t="shared" si="10"/>
        <v>0</v>
      </c>
      <c r="BG67" s="14">
        <f t="shared" si="11"/>
        <v>0</v>
      </c>
      <c r="BH67" s="14">
        <f t="shared" si="12"/>
        <v>0</v>
      </c>
      <c r="BI67" s="14">
        <f t="shared" si="13"/>
        <v>0</v>
      </c>
      <c r="BJ67" s="14">
        <f t="shared" si="14"/>
        <v>0</v>
      </c>
      <c r="BK67" s="14">
        <f t="shared" si="15"/>
        <v>0</v>
      </c>
      <c r="BL67" s="14">
        <f t="shared" si="16"/>
        <v>0</v>
      </c>
      <c r="BM67" s="14">
        <f t="shared" si="17"/>
        <v>0</v>
      </c>
      <c r="BN67" s="14">
        <f t="shared" si="18"/>
        <v>0</v>
      </c>
      <c r="BO67" s="14">
        <f t="shared" si="19"/>
        <v>0</v>
      </c>
      <c r="BP67" s="14">
        <f t="shared" si="20"/>
        <v>0</v>
      </c>
      <c r="BQ67" s="37">
        <f t="shared" si="97"/>
        <v>0</v>
      </c>
    </row>
    <row r="68" spans="2:69" ht="18" customHeight="1">
      <c r="B68" s="12">
        <v>69</v>
      </c>
      <c r="C68" s="12"/>
      <c r="D68" s="11"/>
      <c r="E68" s="11"/>
      <c r="F68" s="11"/>
      <c r="G68" s="11"/>
      <c r="H68" s="11"/>
      <c r="I68" s="24"/>
      <c r="J68" s="24"/>
      <c r="K68" s="12"/>
      <c r="L68" s="12"/>
      <c r="M68" s="12"/>
      <c r="N68" s="12"/>
      <c r="O68" s="12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37">
        <f t="shared" si="96"/>
        <v>0</v>
      </c>
      <c r="AC68" s="29"/>
      <c r="AD68" s="38">
        <f t="shared" si="86"/>
        <v>0</v>
      </c>
      <c r="AE68" s="38">
        <f t="shared" si="87"/>
        <v>0</v>
      </c>
      <c r="AF68" s="38">
        <f t="shared" si="71"/>
        <v>0</v>
      </c>
      <c r="AG68" s="38">
        <f t="shared" si="72"/>
        <v>0</v>
      </c>
      <c r="AH68" s="38">
        <f t="shared" si="88"/>
        <v>0</v>
      </c>
      <c r="AI68" s="38">
        <f t="shared" si="89"/>
        <v>0</v>
      </c>
      <c r="AJ68" s="38">
        <f t="shared" si="90"/>
        <v>0</v>
      </c>
      <c r="AK68" s="38">
        <f t="shared" si="91"/>
        <v>0</v>
      </c>
      <c r="AL68" s="38">
        <f t="shared" si="92"/>
        <v>0</v>
      </c>
      <c r="AM68" s="38">
        <f t="shared" si="93"/>
        <v>0</v>
      </c>
      <c r="AN68" s="38">
        <f t="shared" si="94"/>
        <v>0</v>
      </c>
      <c r="AO68" s="38">
        <f t="shared" si="95"/>
        <v>0</v>
      </c>
      <c r="AP68" s="39">
        <f t="shared" si="75"/>
        <v>0</v>
      </c>
      <c r="AQ68" s="29"/>
      <c r="AR68" s="15" t="str">
        <f t="shared" si="76"/>
        <v/>
      </c>
      <c r="AS68" s="15" t="str">
        <f t="shared" si="77"/>
        <v/>
      </c>
      <c r="AT68" s="15" t="str">
        <f t="shared" si="78"/>
        <v/>
      </c>
      <c r="AU68" s="15" t="str">
        <f t="shared" si="73"/>
        <v/>
      </c>
      <c r="AV68" s="15" t="str">
        <f t="shared" si="74"/>
        <v/>
      </c>
      <c r="AW68" s="15" t="str">
        <f t="shared" si="79"/>
        <v/>
      </c>
      <c r="AX68" s="15" t="str">
        <f t="shared" si="80"/>
        <v/>
      </c>
      <c r="AY68" s="15" t="str">
        <f t="shared" si="81"/>
        <v/>
      </c>
      <c r="AZ68" s="15" t="str">
        <f t="shared" si="82"/>
        <v/>
      </c>
      <c r="BA68" s="15" t="str">
        <f t="shared" si="83"/>
        <v/>
      </c>
      <c r="BB68" s="15" t="str">
        <f t="shared" si="84"/>
        <v/>
      </c>
      <c r="BC68" s="15" t="str">
        <f t="shared" si="85"/>
        <v/>
      </c>
      <c r="BE68" s="14">
        <f t="shared" ref="BE68:BE76" si="98">$I68*P68</f>
        <v>0</v>
      </c>
      <c r="BF68" s="14">
        <f t="shared" ref="BF68:BF76" si="99">$I68*Q68</f>
        <v>0</v>
      </c>
      <c r="BG68" s="14">
        <f t="shared" ref="BG68:BG76" si="100">$I68*R68</f>
        <v>0</v>
      </c>
      <c r="BH68" s="14">
        <f t="shared" ref="BH68:BH76" si="101">$I68*S68</f>
        <v>0</v>
      </c>
      <c r="BI68" s="14">
        <f t="shared" ref="BI68:BI76" si="102">$I68*T68</f>
        <v>0</v>
      </c>
      <c r="BJ68" s="14">
        <f t="shared" ref="BJ68:BJ76" si="103">$I68*U68</f>
        <v>0</v>
      </c>
      <c r="BK68" s="14">
        <f t="shared" ref="BK68:BK76" si="104">$I68*V68</f>
        <v>0</v>
      </c>
      <c r="BL68" s="14">
        <f t="shared" ref="BL68:BL76" si="105">$I68*W68</f>
        <v>0</v>
      </c>
      <c r="BM68" s="14">
        <f t="shared" ref="BM68:BM76" si="106">$I68*X68</f>
        <v>0</v>
      </c>
      <c r="BN68" s="14">
        <f t="shared" ref="BN68:BN76" si="107">$I68*Y68</f>
        <v>0</v>
      </c>
      <c r="BO68" s="14">
        <f t="shared" ref="BO68:BO76" si="108">$I68*Z68</f>
        <v>0</v>
      </c>
      <c r="BP68" s="14">
        <f t="shared" ref="BP68:BP76" si="109">$I68*AA68</f>
        <v>0</v>
      </c>
      <c r="BQ68" s="37">
        <f t="shared" si="97"/>
        <v>0</v>
      </c>
    </row>
    <row r="69" spans="2:69" ht="18" customHeight="1">
      <c r="B69" s="12">
        <v>70</v>
      </c>
      <c r="C69" s="12"/>
      <c r="D69" s="11"/>
      <c r="E69" s="11"/>
      <c r="F69" s="11"/>
      <c r="G69" s="11"/>
      <c r="H69" s="11"/>
      <c r="I69" s="24"/>
      <c r="J69" s="24"/>
      <c r="K69" s="12"/>
      <c r="L69" s="12"/>
      <c r="M69" s="12"/>
      <c r="N69" s="12"/>
      <c r="O69" s="12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37">
        <f t="shared" si="96"/>
        <v>0</v>
      </c>
      <c r="AC69" s="29"/>
      <c r="AD69" s="38">
        <f t="shared" si="86"/>
        <v>0</v>
      </c>
      <c r="AE69" s="38">
        <f t="shared" si="87"/>
        <v>0</v>
      </c>
      <c r="AF69" s="38">
        <f t="shared" si="71"/>
        <v>0</v>
      </c>
      <c r="AG69" s="38">
        <f t="shared" si="72"/>
        <v>0</v>
      </c>
      <c r="AH69" s="38">
        <f t="shared" si="88"/>
        <v>0</v>
      </c>
      <c r="AI69" s="38">
        <f t="shared" si="89"/>
        <v>0</v>
      </c>
      <c r="AJ69" s="38">
        <f t="shared" si="90"/>
        <v>0</v>
      </c>
      <c r="AK69" s="38">
        <f t="shared" si="91"/>
        <v>0</v>
      </c>
      <c r="AL69" s="38">
        <f t="shared" si="92"/>
        <v>0</v>
      </c>
      <c r="AM69" s="38">
        <f t="shared" si="93"/>
        <v>0</v>
      </c>
      <c r="AN69" s="38">
        <f t="shared" si="94"/>
        <v>0</v>
      </c>
      <c r="AO69" s="38">
        <f t="shared" si="95"/>
        <v>0</v>
      </c>
      <c r="AP69" s="39">
        <f t="shared" si="75"/>
        <v>0</v>
      </c>
      <c r="AQ69" s="29"/>
      <c r="AR69" s="15" t="str">
        <f t="shared" si="76"/>
        <v/>
      </c>
      <c r="AS69" s="15" t="str">
        <f t="shared" si="77"/>
        <v/>
      </c>
      <c r="AT69" s="15" t="str">
        <f t="shared" si="78"/>
        <v/>
      </c>
      <c r="AU69" s="15" t="str">
        <f t="shared" si="73"/>
        <v/>
      </c>
      <c r="AV69" s="15" t="str">
        <f t="shared" si="74"/>
        <v/>
      </c>
      <c r="AW69" s="15" t="str">
        <f t="shared" si="79"/>
        <v/>
      </c>
      <c r="AX69" s="15" t="str">
        <f t="shared" si="80"/>
        <v/>
      </c>
      <c r="AY69" s="15" t="str">
        <f t="shared" si="81"/>
        <v/>
      </c>
      <c r="AZ69" s="15" t="str">
        <f t="shared" si="82"/>
        <v/>
      </c>
      <c r="BA69" s="15" t="str">
        <f t="shared" si="83"/>
        <v/>
      </c>
      <c r="BB69" s="15" t="str">
        <f t="shared" si="84"/>
        <v/>
      </c>
      <c r="BC69" s="15" t="str">
        <f t="shared" si="85"/>
        <v/>
      </c>
      <c r="BE69" s="14">
        <f t="shared" si="98"/>
        <v>0</v>
      </c>
      <c r="BF69" s="14">
        <f t="shared" si="99"/>
        <v>0</v>
      </c>
      <c r="BG69" s="14">
        <f t="shared" si="100"/>
        <v>0</v>
      </c>
      <c r="BH69" s="14">
        <f t="shared" si="101"/>
        <v>0</v>
      </c>
      <c r="BI69" s="14">
        <f t="shared" si="102"/>
        <v>0</v>
      </c>
      <c r="BJ69" s="14">
        <f t="shared" si="103"/>
        <v>0</v>
      </c>
      <c r="BK69" s="14">
        <f t="shared" si="104"/>
        <v>0</v>
      </c>
      <c r="BL69" s="14">
        <f t="shared" si="105"/>
        <v>0</v>
      </c>
      <c r="BM69" s="14">
        <f t="shared" si="106"/>
        <v>0</v>
      </c>
      <c r="BN69" s="14">
        <f t="shared" si="107"/>
        <v>0</v>
      </c>
      <c r="BO69" s="14">
        <f t="shared" si="108"/>
        <v>0</v>
      </c>
      <c r="BP69" s="14">
        <f t="shared" si="109"/>
        <v>0</v>
      </c>
      <c r="BQ69" s="37">
        <f t="shared" si="97"/>
        <v>0</v>
      </c>
    </row>
    <row r="70" spans="2:69" ht="18" customHeight="1">
      <c r="B70" s="12">
        <v>71</v>
      </c>
      <c r="C70" s="12"/>
      <c r="D70" s="11"/>
      <c r="E70" s="11"/>
      <c r="F70" s="11"/>
      <c r="G70" s="11"/>
      <c r="H70" s="11"/>
      <c r="I70" s="24"/>
      <c r="J70" s="24"/>
      <c r="K70" s="12"/>
      <c r="L70" s="12"/>
      <c r="M70" s="12"/>
      <c r="N70" s="12"/>
      <c r="O70" s="12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37">
        <f t="shared" si="96"/>
        <v>0</v>
      </c>
      <c r="AC70" s="29"/>
      <c r="AD70" s="38">
        <f t="shared" si="86"/>
        <v>0</v>
      </c>
      <c r="AE70" s="38">
        <f t="shared" si="87"/>
        <v>0</v>
      </c>
      <c r="AF70" s="38">
        <f t="shared" si="71"/>
        <v>0</v>
      </c>
      <c r="AG70" s="38">
        <f t="shared" si="72"/>
        <v>0</v>
      </c>
      <c r="AH70" s="38">
        <f t="shared" si="88"/>
        <v>0</v>
      </c>
      <c r="AI70" s="38">
        <f t="shared" si="89"/>
        <v>0</v>
      </c>
      <c r="AJ70" s="38">
        <f t="shared" si="90"/>
        <v>0</v>
      </c>
      <c r="AK70" s="38">
        <f t="shared" si="91"/>
        <v>0</v>
      </c>
      <c r="AL70" s="38">
        <f t="shared" si="92"/>
        <v>0</v>
      </c>
      <c r="AM70" s="38">
        <f t="shared" si="93"/>
        <v>0</v>
      </c>
      <c r="AN70" s="38">
        <f t="shared" si="94"/>
        <v>0</v>
      </c>
      <c r="AO70" s="38">
        <f t="shared" si="95"/>
        <v>0</v>
      </c>
      <c r="AP70" s="39">
        <f t="shared" si="75"/>
        <v>0</v>
      </c>
      <c r="AQ70" s="29"/>
      <c r="AR70" s="15" t="str">
        <f t="shared" si="76"/>
        <v/>
      </c>
      <c r="AS70" s="15" t="str">
        <f t="shared" si="77"/>
        <v/>
      </c>
      <c r="AT70" s="15" t="str">
        <f t="shared" si="78"/>
        <v/>
      </c>
      <c r="AU70" s="15" t="str">
        <f t="shared" si="73"/>
        <v/>
      </c>
      <c r="AV70" s="15" t="str">
        <f t="shared" si="74"/>
        <v/>
      </c>
      <c r="AW70" s="15" t="str">
        <f t="shared" si="79"/>
        <v/>
      </c>
      <c r="AX70" s="15" t="str">
        <f t="shared" si="80"/>
        <v/>
      </c>
      <c r="AY70" s="15" t="str">
        <f t="shared" si="81"/>
        <v/>
      </c>
      <c r="AZ70" s="15" t="str">
        <f t="shared" si="82"/>
        <v/>
      </c>
      <c r="BA70" s="15" t="str">
        <f t="shared" si="83"/>
        <v/>
      </c>
      <c r="BB70" s="15" t="str">
        <f t="shared" si="84"/>
        <v/>
      </c>
      <c r="BC70" s="15" t="str">
        <f t="shared" si="85"/>
        <v/>
      </c>
      <c r="BE70" s="14">
        <f t="shared" si="98"/>
        <v>0</v>
      </c>
      <c r="BF70" s="14">
        <f t="shared" si="99"/>
        <v>0</v>
      </c>
      <c r="BG70" s="14">
        <f t="shared" si="100"/>
        <v>0</v>
      </c>
      <c r="BH70" s="14">
        <f t="shared" si="101"/>
        <v>0</v>
      </c>
      <c r="BI70" s="14">
        <f t="shared" si="102"/>
        <v>0</v>
      </c>
      <c r="BJ70" s="14">
        <f t="shared" si="103"/>
        <v>0</v>
      </c>
      <c r="BK70" s="14">
        <f t="shared" si="104"/>
        <v>0</v>
      </c>
      <c r="BL70" s="14">
        <f t="shared" si="105"/>
        <v>0</v>
      </c>
      <c r="BM70" s="14">
        <f t="shared" si="106"/>
        <v>0</v>
      </c>
      <c r="BN70" s="14">
        <f t="shared" si="107"/>
        <v>0</v>
      </c>
      <c r="BO70" s="14">
        <f t="shared" si="108"/>
        <v>0</v>
      </c>
      <c r="BP70" s="14">
        <f t="shared" si="109"/>
        <v>0</v>
      </c>
      <c r="BQ70" s="37">
        <f t="shared" si="97"/>
        <v>0</v>
      </c>
    </row>
    <row r="71" spans="2:69" ht="18" customHeight="1">
      <c r="B71" s="12">
        <v>72</v>
      </c>
      <c r="C71" s="12"/>
      <c r="D71" s="11"/>
      <c r="E71" s="11"/>
      <c r="F71" s="11"/>
      <c r="G71" s="11"/>
      <c r="H71" s="11"/>
      <c r="I71" s="24"/>
      <c r="J71" s="24"/>
      <c r="K71" s="12"/>
      <c r="L71" s="12"/>
      <c r="M71" s="12"/>
      <c r="N71" s="12"/>
      <c r="O71" s="12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37">
        <f t="shared" si="96"/>
        <v>0</v>
      </c>
      <c r="AC71" s="29"/>
      <c r="AD71" s="38">
        <f t="shared" si="86"/>
        <v>0</v>
      </c>
      <c r="AE71" s="38">
        <f t="shared" si="87"/>
        <v>0</v>
      </c>
      <c r="AF71" s="38">
        <f t="shared" si="71"/>
        <v>0</v>
      </c>
      <c r="AG71" s="38">
        <f t="shared" si="72"/>
        <v>0</v>
      </c>
      <c r="AH71" s="38">
        <f t="shared" si="88"/>
        <v>0</v>
      </c>
      <c r="AI71" s="38">
        <f t="shared" si="89"/>
        <v>0</v>
      </c>
      <c r="AJ71" s="38">
        <f t="shared" si="90"/>
        <v>0</v>
      </c>
      <c r="AK71" s="38">
        <f t="shared" si="91"/>
        <v>0</v>
      </c>
      <c r="AL71" s="38">
        <f t="shared" si="92"/>
        <v>0</v>
      </c>
      <c r="AM71" s="38">
        <f t="shared" si="93"/>
        <v>0</v>
      </c>
      <c r="AN71" s="38">
        <f t="shared" si="94"/>
        <v>0</v>
      </c>
      <c r="AO71" s="38">
        <f t="shared" si="95"/>
        <v>0</v>
      </c>
      <c r="AP71" s="39">
        <f t="shared" si="75"/>
        <v>0</v>
      </c>
      <c r="AQ71" s="29"/>
      <c r="AR71" s="15" t="str">
        <f t="shared" si="76"/>
        <v/>
      </c>
      <c r="AS71" s="15" t="str">
        <f t="shared" si="77"/>
        <v/>
      </c>
      <c r="AT71" s="15" t="str">
        <f t="shared" si="78"/>
        <v/>
      </c>
      <c r="AU71" s="15" t="str">
        <f t="shared" si="73"/>
        <v/>
      </c>
      <c r="AV71" s="15" t="str">
        <f t="shared" si="74"/>
        <v/>
      </c>
      <c r="AW71" s="15" t="str">
        <f t="shared" si="79"/>
        <v/>
      </c>
      <c r="AX71" s="15" t="str">
        <f t="shared" si="80"/>
        <v/>
      </c>
      <c r="AY71" s="15" t="str">
        <f t="shared" si="81"/>
        <v/>
      </c>
      <c r="AZ71" s="15" t="str">
        <f t="shared" si="82"/>
        <v/>
      </c>
      <c r="BA71" s="15" t="str">
        <f t="shared" si="83"/>
        <v/>
      </c>
      <c r="BB71" s="15" t="str">
        <f t="shared" si="84"/>
        <v/>
      </c>
      <c r="BC71" s="15" t="str">
        <f t="shared" si="85"/>
        <v/>
      </c>
      <c r="BE71" s="14">
        <f t="shared" si="98"/>
        <v>0</v>
      </c>
      <c r="BF71" s="14">
        <f t="shared" si="99"/>
        <v>0</v>
      </c>
      <c r="BG71" s="14">
        <f t="shared" si="100"/>
        <v>0</v>
      </c>
      <c r="BH71" s="14">
        <f t="shared" si="101"/>
        <v>0</v>
      </c>
      <c r="BI71" s="14">
        <f t="shared" si="102"/>
        <v>0</v>
      </c>
      <c r="BJ71" s="14">
        <f t="shared" si="103"/>
        <v>0</v>
      </c>
      <c r="BK71" s="14">
        <f t="shared" si="104"/>
        <v>0</v>
      </c>
      <c r="BL71" s="14">
        <f t="shared" si="105"/>
        <v>0</v>
      </c>
      <c r="BM71" s="14">
        <f t="shared" si="106"/>
        <v>0</v>
      </c>
      <c r="BN71" s="14">
        <f t="shared" si="107"/>
        <v>0</v>
      </c>
      <c r="BO71" s="14">
        <f t="shared" si="108"/>
        <v>0</v>
      </c>
      <c r="BP71" s="14">
        <f t="shared" si="109"/>
        <v>0</v>
      </c>
      <c r="BQ71" s="37">
        <f t="shared" si="97"/>
        <v>0</v>
      </c>
    </row>
    <row r="72" spans="2:69" ht="18" customHeight="1">
      <c r="B72" s="12">
        <v>73</v>
      </c>
      <c r="C72" s="12"/>
      <c r="D72" s="11"/>
      <c r="E72" s="11"/>
      <c r="F72" s="11"/>
      <c r="G72" s="11"/>
      <c r="H72" s="11"/>
      <c r="I72" s="24"/>
      <c r="J72" s="24"/>
      <c r="K72" s="12"/>
      <c r="L72" s="12"/>
      <c r="M72" s="12"/>
      <c r="N72" s="12"/>
      <c r="O72" s="12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37">
        <f t="shared" si="96"/>
        <v>0</v>
      </c>
      <c r="AC72" s="29"/>
      <c r="AD72" s="38">
        <f t="shared" si="86"/>
        <v>0</v>
      </c>
      <c r="AE72" s="38">
        <f t="shared" si="87"/>
        <v>0</v>
      </c>
      <c r="AF72" s="38">
        <f t="shared" si="71"/>
        <v>0</v>
      </c>
      <c r="AG72" s="38">
        <f t="shared" si="72"/>
        <v>0</v>
      </c>
      <c r="AH72" s="38">
        <f t="shared" si="88"/>
        <v>0</v>
      </c>
      <c r="AI72" s="38">
        <f t="shared" si="89"/>
        <v>0</v>
      </c>
      <c r="AJ72" s="38">
        <f t="shared" si="90"/>
        <v>0</v>
      </c>
      <c r="AK72" s="38">
        <f t="shared" si="91"/>
        <v>0</v>
      </c>
      <c r="AL72" s="38">
        <f t="shared" si="92"/>
        <v>0</v>
      </c>
      <c r="AM72" s="38">
        <f t="shared" si="93"/>
        <v>0</v>
      </c>
      <c r="AN72" s="38">
        <f t="shared" si="94"/>
        <v>0</v>
      </c>
      <c r="AO72" s="38">
        <f t="shared" si="95"/>
        <v>0</v>
      </c>
      <c r="AP72" s="39">
        <f t="shared" si="75"/>
        <v>0</v>
      </c>
      <c r="AQ72" s="29"/>
      <c r="AR72" s="15" t="str">
        <f t="shared" si="76"/>
        <v/>
      </c>
      <c r="AS72" s="15" t="str">
        <f t="shared" si="77"/>
        <v/>
      </c>
      <c r="AT72" s="15" t="str">
        <f t="shared" si="78"/>
        <v/>
      </c>
      <c r="AU72" s="15" t="str">
        <f t="shared" si="73"/>
        <v/>
      </c>
      <c r="AV72" s="15" t="str">
        <f t="shared" si="74"/>
        <v/>
      </c>
      <c r="AW72" s="15" t="str">
        <f t="shared" si="79"/>
        <v/>
      </c>
      <c r="AX72" s="15" t="str">
        <f t="shared" si="80"/>
        <v/>
      </c>
      <c r="AY72" s="15" t="str">
        <f t="shared" si="81"/>
        <v/>
      </c>
      <c r="AZ72" s="15" t="str">
        <f t="shared" si="82"/>
        <v/>
      </c>
      <c r="BA72" s="15" t="str">
        <f t="shared" si="83"/>
        <v/>
      </c>
      <c r="BB72" s="15" t="str">
        <f t="shared" si="84"/>
        <v/>
      </c>
      <c r="BC72" s="15" t="str">
        <f t="shared" si="85"/>
        <v/>
      </c>
      <c r="BE72" s="14">
        <f t="shared" si="98"/>
        <v>0</v>
      </c>
      <c r="BF72" s="14">
        <f t="shared" si="99"/>
        <v>0</v>
      </c>
      <c r="BG72" s="14">
        <f t="shared" si="100"/>
        <v>0</v>
      </c>
      <c r="BH72" s="14">
        <f t="shared" si="101"/>
        <v>0</v>
      </c>
      <c r="BI72" s="14">
        <f t="shared" si="102"/>
        <v>0</v>
      </c>
      <c r="BJ72" s="14">
        <f t="shared" si="103"/>
        <v>0</v>
      </c>
      <c r="BK72" s="14">
        <f t="shared" si="104"/>
        <v>0</v>
      </c>
      <c r="BL72" s="14">
        <f t="shared" si="105"/>
        <v>0</v>
      </c>
      <c r="BM72" s="14">
        <f t="shared" si="106"/>
        <v>0</v>
      </c>
      <c r="BN72" s="14">
        <f t="shared" si="107"/>
        <v>0</v>
      </c>
      <c r="BO72" s="14">
        <f t="shared" si="108"/>
        <v>0</v>
      </c>
      <c r="BP72" s="14">
        <f t="shared" si="109"/>
        <v>0</v>
      </c>
      <c r="BQ72" s="37">
        <f t="shared" si="97"/>
        <v>0</v>
      </c>
    </row>
    <row r="73" spans="2:69" ht="18" customHeight="1">
      <c r="B73" s="12">
        <v>74</v>
      </c>
      <c r="C73" s="12"/>
      <c r="D73" s="11"/>
      <c r="E73" s="11"/>
      <c r="F73" s="11"/>
      <c r="G73" s="11"/>
      <c r="H73" s="11"/>
      <c r="I73" s="24"/>
      <c r="J73" s="24"/>
      <c r="K73" s="12"/>
      <c r="L73" s="12"/>
      <c r="M73" s="12"/>
      <c r="N73" s="12"/>
      <c r="O73" s="12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37">
        <f t="shared" si="96"/>
        <v>0</v>
      </c>
      <c r="AC73" s="29"/>
      <c r="AD73" s="38">
        <f t="shared" si="86"/>
        <v>0</v>
      </c>
      <c r="AE73" s="38">
        <f t="shared" si="87"/>
        <v>0</v>
      </c>
      <c r="AF73" s="38">
        <f t="shared" si="71"/>
        <v>0</v>
      </c>
      <c r="AG73" s="38">
        <f t="shared" si="72"/>
        <v>0</v>
      </c>
      <c r="AH73" s="38">
        <f t="shared" si="88"/>
        <v>0</v>
      </c>
      <c r="AI73" s="38">
        <f t="shared" si="89"/>
        <v>0</v>
      </c>
      <c r="AJ73" s="38">
        <f t="shared" si="90"/>
        <v>0</v>
      </c>
      <c r="AK73" s="38">
        <f t="shared" si="91"/>
        <v>0</v>
      </c>
      <c r="AL73" s="38">
        <f t="shared" si="92"/>
        <v>0</v>
      </c>
      <c r="AM73" s="38">
        <f t="shared" si="93"/>
        <v>0</v>
      </c>
      <c r="AN73" s="38">
        <f t="shared" si="94"/>
        <v>0</v>
      </c>
      <c r="AO73" s="38">
        <f t="shared" si="95"/>
        <v>0</v>
      </c>
      <c r="AP73" s="39">
        <f t="shared" si="75"/>
        <v>0</v>
      </c>
      <c r="AQ73" s="29"/>
      <c r="AR73" s="15" t="str">
        <f t="shared" si="76"/>
        <v/>
      </c>
      <c r="AS73" s="15" t="str">
        <f t="shared" si="77"/>
        <v/>
      </c>
      <c r="AT73" s="15" t="str">
        <f t="shared" si="78"/>
        <v/>
      </c>
      <c r="AU73" s="15" t="str">
        <f t="shared" si="73"/>
        <v/>
      </c>
      <c r="AV73" s="15" t="str">
        <f t="shared" si="74"/>
        <v/>
      </c>
      <c r="AW73" s="15" t="str">
        <f t="shared" si="79"/>
        <v/>
      </c>
      <c r="AX73" s="15" t="str">
        <f t="shared" si="80"/>
        <v/>
      </c>
      <c r="AY73" s="15" t="str">
        <f t="shared" si="81"/>
        <v/>
      </c>
      <c r="AZ73" s="15" t="str">
        <f t="shared" si="82"/>
        <v/>
      </c>
      <c r="BA73" s="15" t="str">
        <f t="shared" si="83"/>
        <v/>
      </c>
      <c r="BB73" s="15" t="str">
        <f t="shared" si="84"/>
        <v/>
      </c>
      <c r="BC73" s="15" t="str">
        <f t="shared" si="85"/>
        <v/>
      </c>
      <c r="BE73" s="14">
        <f t="shared" si="98"/>
        <v>0</v>
      </c>
      <c r="BF73" s="14">
        <f t="shared" si="99"/>
        <v>0</v>
      </c>
      <c r="BG73" s="14">
        <f t="shared" si="100"/>
        <v>0</v>
      </c>
      <c r="BH73" s="14">
        <f t="shared" si="101"/>
        <v>0</v>
      </c>
      <c r="BI73" s="14">
        <f t="shared" si="102"/>
        <v>0</v>
      </c>
      <c r="BJ73" s="14">
        <f t="shared" si="103"/>
        <v>0</v>
      </c>
      <c r="BK73" s="14">
        <f t="shared" si="104"/>
        <v>0</v>
      </c>
      <c r="BL73" s="14">
        <f t="shared" si="105"/>
        <v>0</v>
      </c>
      <c r="BM73" s="14">
        <f t="shared" si="106"/>
        <v>0</v>
      </c>
      <c r="BN73" s="14">
        <f t="shared" si="107"/>
        <v>0</v>
      </c>
      <c r="BO73" s="14">
        <f t="shared" si="108"/>
        <v>0</v>
      </c>
      <c r="BP73" s="14">
        <f t="shared" si="109"/>
        <v>0</v>
      </c>
      <c r="BQ73" s="37">
        <f t="shared" si="97"/>
        <v>0</v>
      </c>
    </row>
    <row r="74" spans="2:69" ht="18" customHeight="1">
      <c r="B74" s="12">
        <v>75</v>
      </c>
      <c r="C74" s="12"/>
      <c r="D74" s="11"/>
      <c r="E74" s="11"/>
      <c r="F74" s="11"/>
      <c r="G74" s="11"/>
      <c r="H74" s="11"/>
      <c r="I74" s="24"/>
      <c r="J74" s="24"/>
      <c r="K74" s="12"/>
      <c r="L74" s="12"/>
      <c r="M74" s="12"/>
      <c r="N74" s="12"/>
      <c r="O74" s="12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37">
        <f t="shared" si="96"/>
        <v>0</v>
      </c>
      <c r="AC74" s="29"/>
      <c r="AD74" s="38">
        <f t="shared" si="86"/>
        <v>0</v>
      </c>
      <c r="AE74" s="38">
        <f t="shared" si="87"/>
        <v>0</v>
      </c>
      <c r="AF74" s="38">
        <f t="shared" si="71"/>
        <v>0</v>
      </c>
      <c r="AG74" s="38">
        <f t="shared" si="72"/>
        <v>0</v>
      </c>
      <c r="AH74" s="38">
        <f t="shared" si="88"/>
        <v>0</v>
      </c>
      <c r="AI74" s="38">
        <f t="shared" si="89"/>
        <v>0</v>
      </c>
      <c r="AJ74" s="38">
        <f t="shared" si="90"/>
        <v>0</v>
      </c>
      <c r="AK74" s="38">
        <f t="shared" si="91"/>
        <v>0</v>
      </c>
      <c r="AL74" s="38">
        <f t="shared" si="92"/>
        <v>0</v>
      </c>
      <c r="AM74" s="38">
        <f t="shared" si="93"/>
        <v>0</v>
      </c>
      <c r="AN74" s="38">
        <f t="shared" si="94"/>
        <v>0</v>
      </c>
      <c r="AO74" s="38">
        <f t="shared" si="95"/>
        <v>0</v>
      </c>
      <c r="AP74" s="39">
        <f t="shared" si="75"/>
        <v>0</v>
      </c>
      <c r="AQ74" s="29"/>
      <c r="AR74" s="15" t="str">
        <f t="shared" si="76"/>
        <v/>
      </c>
      <c r="AS74" s="15" t="str">
        <f t="shared" si="77"/>
        <v/>
      </c>
      <c r="AT74" s="15" t="str">
        <f t="shared" si="78"/>
        <v/>
      </c>
      <c r="AU74" s="15" t="str">
        <f t="shared" si="73"/>
        <v/>
      </c>
      <c r="AV74" s="15" t="str">
        <f t="shared" si="74"/>
        <v/>
      </c>
      <c r="AW74" s="15" t="str">
        <f t="shared" si="79"/>
        <v/>
      </c>
      <c r="AX74" s="15" t="str">
        <f t="shared" si="80"/>
        <v/>
      </c>
      <c r="AY74" s="15" t="str">
        <f t="shared" si="81"/>
        <v/>
      </c>
      <c r="AZ74" s="15" t="str">
        <f t="shared" si="82"/>
        <v/>
      </c>
      <c r="BA74" s="15" t="str">
        <f t="shared" si="83"/>
        <v/>
      </c>
      <c r="BB74" s="15" t="str">
        <f t="shared" si="84"/>
        <v/>
      </c>
      <c r="BC74" s="15" t="str">
        <f t="shared" si="85"/>
        <v/>
      </c>
      <c r="BE74" s="14">
        <f t="shared" si="98"/>
        <v>0</v>
      </c>
      <c r="BF74" s="14">
        <f t="shared" si="99"/>
        <v>0</v>
      </c>
      <c r="BG74" s="14">
        <f t="shared" si="100"/>
        <v>0</v>
      </c>
      <c r="BH74" s="14">
        <f t="shared" si="101"/>
        <v>0</v>
      </c>
      <c r="BI74" s="14">
        <f t="shared" si="102"/>
        <v>0</v>
      </c>
      <c r="BJ74" s="14">
        <f t="shared" si="103"/>
        <v>0</v>
      </c>
      <c r="BK74" s="14">
        <f t="shared" si="104"/>
        <v>0</v>
      </c>
      <c r="BL74" s="14">
        <f t="shared" si="105"/>
        <v>0</v>
      </c>
      <c r="BM74" s="14">
        <f t="shared" si="106"/>
        <v>0</v>
      </c>
      <c r="BN74" s="14">
        <f t="shared" si="107"/>
        <v>0</v>
      </c>
      <c r="BO74" s="14">
        <f t="shared" si="108"/>
        <v>0</v>
      </c>
      <c r="BP74" s="14">
        <f t="shared" si="109"/>
        <v>0</v>
      </c>
      <c r="BQ74" s="37">
        <f t="shared" si="97"/>
        <v>0</v>
      </c>
    </row>
    <row r="75" spans="2:69" ht="18" customHeight="1">
      <c r="B75" s="12">
        <v>76</v>
      </c>
      <c r="C75" s="12"/>
      <c r="D75" s="11"/>
      <c r="E75" s="11"/>
      <c r="F75" s="11"/>
      <c r="G75" s="11"/>
      <c r="H75" s="11"/>
      <c r="I75" s="24"/>
      <c r="J75" s="24"/>
      <c r="K75" s="12"/>
      <c r="L75" s="12"/>
      <c r="M75" s="12"/>
      <c r="N75" s="12"/>
      <c r="O75" s="12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37">
        <f t="shared" si="96"/>
        <v>0</v>
      </c>
      <c r="AC75" s="29"/>
      <c r="AD75" s="38">
        <f t="shared" si="86"/>
        <v>0</v>
      </c>
      <c r="AE75" s="38">
        <f t="shared" si="87"/>
        <v>0</v>
      </c>
      <c r="AF75" s="38">
        <f t="shared" si="71"/>
        <v>0</v>
      </c>
      <c r="AG75" s="38">
        <f t="shared" si="72"/>
        <v>0</v>
      </c>
      <c r="AH75" s="38">
        <f t="shared" si="88"/>
        <v>0</v>
      </c>
      <c r="AI75" s="38">
        <f t="shared" si="89"/>
        <v>0</v>
      </c>
      <c r="AJ75" s="38">
        <f t="shared" si="90"/>
        <v>0</v>
      </c>
      <c r="AK75" s="38">
        <f t="shared" si="91"/>
        <v>0</v>
      </c>
      <c r="AL75" s="38">
        <f t="shared" si="92"/>
        <v>0</v>
      </c>
      <c r="AM75" s="38">
        <f t="shared" si="93"/>
        <v>0</v>
      </c>
      <c r="AN75" s="38">
        <f t="shared" si="94"/>
        <v>0</v>
      </c>
      <c r="AO75" s="38">
        <f t="shared" si="95"/>
        <v>0</v>
      </c>
      <c r="AP75" s="39">
        <f t="shared" si="75"/>
        <v>0</v>
      </c>
      <c r="AQ75" s="29"/>
      <c r="AR75" s="15" t="str">
        <f t="shared" si="76"/>
        <v/>
      </c>
      <c r="AS75" s="15" t="str">
        <f t="shared" si="77"/>
        <v/>
      </c>
      <c r="AT75" s="15" t="str">
        <f t="shared" si="78"/>
        <v/>
      </c>
      <c r="AU75" s="15" t="str">
        <f t="shared" si="73"/>
        <v/>
      </c>
      <c r="AV75" s="15" t="str">
        <f t="shared" si="74"/>
        <v/>
      </c>
      <c r="AW75" s="15" t="str">
        <f t="shared" si="79"/>
        <v/>
      </c>
      <c r="AX75" s="15" t="str">
        <f t="shared" si="80"/>
        <v/>
      </c>
      <c r="AY75" s="15" t="str">
        <f t="shared" si="81"/>
        <v/>
      </c>
      <c r="AZ75" s="15" t="str">
        <f t="shared" si="82"/>
        <v/>
      </c>
      <c r="BA75" s="15" t="str">
        <f t="shared" si="83"/>
        <v/>
      </c>
      <c r="BB75" s="15" t="str">
        <f t="shared" si="84"/>
        <v/>
      </c>
      <c r="BC75" s="15" t="str">
        <f t="shared" si="85"/>
        <v/>
      </c>
      <c r="BE75" s="14">
        <f t="shared" si="98"/>
        <v>0</v>
      </c>
      <c r="BF75" s="14">
        <f t="shared" si="99"/>
        <v>0</v>
      </c>
      <c r="BG75" s="14">
        <f t="shared" si="100"/>
        <v>0</v>
      </c>
      <c r="BH75" s="14">
        <f t="shared" si="101"/>
        <v>0</v>
      </c>
      <c r="BI75" s="14">
        <f t="shared" si="102"/>
        <v>0</v>
      </c>
      <c r="BJ75" s="14">
        <f t="shared" si="103"/>
        <v>0</v>
      </c>
      <c r="BK75" s="14">
        <f t="shared" si="104"/>
        <v>0</v>
      </c>
      <c r="BL75" s="14">
        <f t="shared" si="105"/>
        <v>0</v>
      </c>
      <c r="BM75" s="14">
        <f t="shared" si="106"/>
        <v>0</v>
      </c>
      <c r="BN75" s="14">
        <f t="shared" si="107"/>
        <v>0</v>
      </c>
      <c r="BO75" s="14">
        <f t="shared" si="108"/>
        <v>0</v>
      </c>
      <c r="BP75" s="14">
        <f t="shared" si="109"/>
        <v>0</v>
      </c>
      <c r="BQ75" s="37">
        <f t="shared" si="97"/>
        <v>0</v>
      </c>
    </row>
    <row r="76" spans="2:69" ht="18" customHeight="1">
      <c r="B76" s="12">
        <v>77</v>
      </c>
      <c r="C76" s="12"/>
      <c r="D76" s="11"/>
      <c r="E76" s="11"/>
      <c r="F76" s="11"/>
      <c r="G76" s="11"/>
      <c r="H76" s="11"/>
      <c r="I76" s="24"/>
      <c r="J76" s="24"/>
      <c r="K76" s="12"/>
      <c r="L76" s="12"/>
      <c r="M76" s="12"/>
      <c r="N76" s="12"/>
      <c r="O76" s="12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37">
        <f t="shared" si="96"/>
        <v>0</v>
      </c>
      <c r="AC76" s="29"/>
      <c r="AD76" s="38">
        <f t="shared" si="86"/>
        <v>0</v>
      </c>
      <c r="AE76" s="38">
        <f t="shared" si="87"/>
        <v>0</v>
      </c>
      <c r="AF76" s="38">
        <f t="shared" si="71"/>
        <v>0</v>
      </c>
      <c r="AG76" s="38">
        <f t="shared" si="72"/>
        <v>0</v>
      </c>
      <c r="AH76" s="38">
        <f t="shared" si="88"/>
        <v>0</v>
      </c>
      <c r="AI76" s="38">
        <f t="shared" si="89"/>
        <v>0</v>
      </c>
      <c r="AJ76" s="38">
        <f t="shared" si="90"/>
        <v>0</v>
      </c>
      <c r="AK76" s="38">
        <f t="shared" si="91"/>
        <v>0</v>
      </c>
      <c r="AL76" s="38">
        <f t="shared" si="92"/>
        <v>0</v>
      </c>
      <c r="AM76" s="38">
        <f t="shared" si="93"/>
        <v>0</v>
      </c>
      <c r="AN76" s="38">
        <f t="shared" si="94"/>
        <v>0</v>
      </c>
      <c r="AO76" s="38">
        <f t="shared" si="95"/>
        <v>0</v>
      </c>
      <c r="AP76" s="39">
        <f t="shared" si="75"/>
        <v>0</v>
      </c>
      <c r="AQ76" s="29"/>
      <c r="AR76" s="15" t="str">
        <f t="shared" si="76"/>
        <v/>
      </c>
      <c r="AS76" s="15" t="str">
        <f t="shared" si="77"/>
        <v/>
      </c>
      <c r="AT76" s="15" t="str">
        <f t="shared" si="78"/>
        <v/>
      </c>
      <c r="AU76" s="15" t="str">
        <f t="shared" si="73"/>
        <v/>
      </c>
      <c r="AV76" s="15" t="str">
        <f t="shared" si="74"/>
        <v/>
      </c>
      <c r="AW76" s="15" t="str">
        <f t="shared" si="79"/>
        <v/>
      </c>
      <c r="AX76" s="15" t="str">
        <f t="shared" si="80"/>
        <v/>
      </c>
      <c r="AY76" s="15" t="str">
        <f t="shared" si="81"/>
        <v/>
      </c>
      <c r="AZ76" s="15" t="str">
        <f t="shared" si="82"/>
        <v/>
      </c>
      <c r="BA76" s="15" t="str">
        <f t="shared" si="83"/>
        <v/>
      </c>
      <c r="BB76" s="15" t="str">
        <f t="shared" si="84"/>
        <v/>
      </c>
      <c r="BC76" s="15" t="str">
        <f t="shared" si="85"/>
        <v/>
      </c>
      <c r="BE76" s="14">
        <f t="shared" si="98"/>
        <v>0</v>
      </c>
      <c r="BF76" s="14">
        <f t="shared" si="99"/>
        <v>0</v>
      </c>
      <c r="BG76" s="14">
        <f t="shared" si="100"/>
        <v>0</v>
      </c>
      <c r="BH76" s="14">
        <f t="shared" si="101"/>
        <v>0</v>
      </c>
      <c r="BI76" s="14">
        <f t="shared" si="102"/>
        <v>0</v>
      </c>
      <c r="BJ76" s="14">
        <f t="shared" si="103"/>
        <v>0</v>
      </c>
      <c r="BK76" s="14">
        <f t="shared" si="104"/>
        <v>0</v>
      </c>
      <c r="BL76" s="14">
        <f t="shared" si="105"/>
        <v>0</v>
      </c>
      <c r="BM76" s="14">
        <f t="shared" si="106"/>
        <v>0</v>
      </c>
      <c r="BN76" s="14">
        <f t="shared" si="107"/>
        <v>0</v>
      </c>
      <c r="BO76" s="14">
        <f t="shared" si="108"/>
        <v>0</v>
      </c>
      <c r="BP76" s="14">
        <f t="shared" si="109"/>
        <v>0</v>
      </c>
      <c r="BQ76" s="37">
        <f t="shared" si="97"/>
        <v>0</v>
      </c>
    </row>
    <row r="77" spans="2:69">
      <c r="B77" s="12">
        <v>78</v>
      </c>
      <c r="C77" s="12"/>
      <c r="D77" s="11"/>
      <c r="E77" s="11"/>
      <c r="F77" s="11"/>
      <c r="G77" s="11"/>
      <c r="H77" s="11"/>
      <c r="I77" s="24"/>
      <c r="J77" s="24"/>
      <c r="K77" s="12"/>
      <c r="L77" s="12"/>
      <c r="M77" s="12"/>
      <c r="N77" s="12"/>
      <c r="O77" s="12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37">
        <f t="shared" si="96"/>
        <v>0</v>
      </c>
      <c r="AC77" s="29"/>
      <c r="AD77" s="38">
        <f t="shared" ref="AD77:AD87" si="110">P77*$J77</f>
        <v>0</v>
      </c>
      <c r="AE77" s="38">
        <f t="shared" ref="AE77:AE87" si="111">Q77*$J77</f>
        <v>0</v>
      </c>
      <c r="AF77" s="38">
        <f t="shared" ref="AF77:AF87" si="112">R77*$J77</f>
        <v>0</v>
      </c>
      <c r="AG77" s="38">
        <f t="shared" ref="AG77:AG87" si="113">S77*$J77</f>
        <v>0</v>
      </c>
      <c r="AH77" s="38">
        <f t="shared" ref="AH77:AH87" si="114">T77*$J77</f>
        <v>0</v>
      </c>
      <c r="AI77" s="38">
        <f t="shared" ref="AI77:AI87" si="115">U77*$J77</f>
        <v>0</v>
      </c>
      <c r="AJ77" s="38">
        <f t="shared" ref="AJ77:AJ87" si="116">V77*$J77</f>
        <v>0</v>
      </c>
      <c r="AK77" s="38">
        <f t="shared" ref="AK77:AK87" si="117">W77*$J77</f>
        <v>0</v>
      </c>
      <c r="AL77" s="38">
        <f t="shared" ref="AL77:AL87" si="118">X77*$J77</f>
        <v>0</v>
      </c>
      <c r="AM77" s="38">
        <f t="shared" ref="AM77:AM87" si="119">Y77*$J77</f>
        <v>0</v>
      </c>
      <c r="AN77" s="38">
        <f t="shared" ref="AN77:AN87" si="120">Z77*$J77</f>
        <v>0</v>
      </c>
      <c r="AO77" s="38">
        <f t="shared" ref="AO77:AO87" si="121">AA77*$J77</f>
        <v>0</v>
      </c>
      <c r="AP77" s="39">
        <f t="shared" ref="AP77:AP87" si="122">SUM(AD77:AO77)</f>
        <v>0</v>
      </c>
      <c r="AQ77" s="29"/>
      <c r="AR77" s="15" t="str">
        <f t="shared" ref="AR77:AR87" si="123">IFERROR((P77-AD77)/P77,"")</f>
        <v/>
      </c>
      <c r="AS77" s="15" t="str">
        <f t="shared" ref="AS77:AS87" si="124">IFERROR((Q77-AE77)/Q77,"")</f>
        <v/>
      </c>
      <c r="AT77" s="15" t="str">
        <f t="shared" ref="AT77:AT87" si="125">IFERROR((R77-AF77)/R77,"")</f>
        <v/>
      </c>
      <c r="AU77" s="15" t="str">
        <f t="shared" ref="AU77:AU87" si="126">IFERROR((S77-AG77)/S77,"")</f>
        <v/>
      </c>
      <c r="AV77" s="15" t="str">
        <f t="shared" ref="AV77:AV87" si="127">IFERROR((T77-AH77)/T77,"")</f>
        <v/>
      </c>
      <c r="AW77" s="15" t="str">
        <f t="shared" ref="AW77:AW87" si="128">IFERROR((U77-AI77)/U77,"")</f>
        <v/>
      </c>
      <c r="AX77" s="15" t="str">
        <f t="shared" ref="AX77:AX87" si="129">IFERROR((V77-AJ77)/V77,"")</f>
        <v/>
      </c>
      <c r="AY77" s="15" t="str">
        <f t="shared" ref="AY77:AY87" si="130">IFERROR((W77-AK77)/W77,"")</f>
        <v/>
      </c>
      <c r="AZ77" s="15" t="str">
        <f t="shared" ref="AZ77:AZ87" si="131">IFERROR((X77-AL77)/X77,"")</f>
        <v/>
      </c>
      <c r="BA77" s="15" t="str">
        <f t="shared" ref="BA77:BA87" si="132">IFERROR((Y77-AM77)/Y77,"")</f>
        <v/>
      </c>
      <c r="BB77" s="15" t="str">
        <f t="shared" ref="BB77:BB87" si="133">IFERROR((Z77-AN77)/Z77,"")</f>
        <v/>
      </c>
      <c r="BC77" s="15" t="str">
        <f t="shared" ref="BC77:BC87" si="134">IFERROR((AA77-AO77)/AA77,"")</f>
        <v/>
      </c>
      <c r="BE77" s="14">
        <f t="shared" ref="BE77:BE87" si="135">$I77*P77</f>
        <v>0</v>
      </c>
      <c r="BF77" s="14">
        <f t="shared" ref="BF77:BF87" si="136">$I77*Q77</f>
        <v>0</v>
      </c>
      <c r="BG77" s="14">
        <f t="shared" ref="BG77:BG87" si="137">$I77*R77</f>
        <v>0</v>
      </c>
      <c r="BH77" s="14">
        <f t="shared" ref="BH77:BH87" si="138">$I77*S77</f>
        <v>0</v>
      </c>
      <c r="BI77" s="14">
        <f t="shared" ref="BI77:BI87" si="139">$I77*T77</f>
        <v>0</v>
      </c>
      <c r="BJ77" s="14">
        <f t="shared" ref="BJ77:BJ87" si="140">$I77*U77</f>
        <v>0</v>
      </c>
      <c r="BK77" s="14">
        <f t="shared" ref="BK77:BK87" si="141">$I77*V77</f>
        <v>0</v>
      </c>
      <c r="BL77" s="14">
        <f t="shared" ref="BL77:BL87" si="142">$I77*W77</f>
        <v>0</v>
      </c>
      <c r="BM77" s="14">
        <f t="shared" ref="BM77:BM87" si="143">$I77*X77</f>
        <v>0</v>
      </c>
      <c r="BN77" s="14">
        <f t="shared" ref="BN77:BN87" si="144">$I77*Y77</f>
        <v>0</v>
      </c>
      <c r="BO77" s="14">
        <f t="shared" ref="BO77:BO87" si="145">$I77*Z77</f>
        <v>0</v>
      </c>
      <c r="BP77" s="14">
        <f t="shared" ref="BP77:BP87" si="146">$I77*AA77</f>
        <v>0</v>
      </c>
      <c r="BQ77" s="37">
        <f t="shared" ref="BQ77:BQ87" si="147">SUM(BE77:BP77)</f>
        <v>0</v>
      </c>
    </row>
    <row r="78" spans="2:69">
      <c r="B78" s="12">
        <v>79</v>
      </c>
      <c r="C78" s="12"/>
      <c r="D78" s="11"/>
      <c r="E78" s="11"/>
      <c r="F78" s="11"/>
      <c r="G78" s="11"/>
      <c r="H78" s="11"/>
      <c r="I78" s="24"/>
      <c r="J78" s="24"/>
      <c r="K78" s="12"/>
      <c r="L78" s="12"/>
      <c r="M78" s="12"/>
      <c r="N78" s="12"/>
      <c r="O78" s="12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37">
        <f t="shared" si="96"/>
        <v>0</v>
      </c>
      <c r="AC78" s="29"/>
      <c r="AD78" s="38">
        <f t="shared" si="110"/>
        <v>0</v>
      </c>
      <c r="AE78" s="38">
        <f t="shared" si="111"/>
        <v>0</v>
      </c>
      <c r="AF78" s="38">
        <f t="shared" si="112"/>
        <v>0</v>
      </c>
      <c r="AG78" s="38">
        <f t="shared" si="113"/>
        <v>0</v>
      </c>
      <c r="AH78" s="38">
        <f t="shared" si="114"/>
        <v>0</v>
      </c>
      <c r="AI78" s="38">
        <f t="shared" si="115"/>
        <v>0</v>
      </c>
      <c r="AJ78" s="38">
        <f t="shared" si="116"/>
        <v>0</v>
      </c>
      <c r="AK78" s="38">
        <f t="shared" si="117"/>
        <v>0</v>
      </c>
      <c r="AL78" s="38">
        <f t="shared" si="118"/>
        <v>0</v>
      </c>
      <c r="AM78" s="38">
        <f t="shared" si="119"/>
        <v>0</v>
      </c>
      <c r="AN78" s="38">
        <f t="shared" si="120"/>
        <v>0</v>
      </c>
      <c r="AO78" s="38">
        <f t="shared" si="121"/>
        <v>0</v>
      </c>
      <c r="AP78" s="39">
        <f t="shared" si="122"/>
        <v>0</v>
      </c>
      <c r="AQ78" s="29"/>
      <c r="AR78" s="15" t="str">
        <f t="shared" si="123"/>
        <v/>
      </c>
      <c r="AS78" s="15" t="str">
        <f t="shared" si="124"/>
        <v/>
      </c>
      <c r="AT78" s="15" t="str">
        <f t="shared" si="125"/>
        <v/>
      </c>
      <c r="AU78" s="15" t="str">
        <f t="shared" si="126"/>
        <v/>
      </c>
      <c r="AV78" s="15" t="str">
        <f t="shared" si="127"/>
        <v/>
      </c>
      <c r="AW78" s="15" t="str">
        <f t="shared" si="128"/>
        <v/>
      </c>
      <c r="AX78" s="15" t="str">
        <f t="shared" si="129"/>
        <v/>
      </c>
      <c r="AY78" s="15" t="str">
        <f t="shared" si="130"/>
        <v/>
      </c>
      <c r="AZ78" s="15" t="str">
        <f t="shared" si="131"/>
        <v/>
      </c>
      <c r="BA78" s="15" t="str">
        <f t="shared" si="132"/>
        <v/>
      </c>
      <c r="BB78" s="15" t="str">
        <f t="shared" si="133"/>
        <v/>
      </c>
      <c r="BC78" s="15" t="str">
        <f t="shared" si="134"/>
        <v/>
      </c>
      <c r="BE78" s="14">
        <f t="shared" si="135"/>
        <v>0</v>
      </c>
      <c r="BF78" s="14">
        <f t="shared" si="136"/>
        <v>0</v>
      </c>
      <c r="BG78" s="14">
        <f t="shared" si="137"/>
        <v>0</v>
      </c>
      <c r="BH78" s="14">
        <f t="shared" si="138"/>
        <v>0</v>
      </c>
      <c r="BI78" s="14">
        <f t="shared" si="139"/>
        <v>0</v>
      </c>
      <c r="BJ78" s="14">
        <f t="shared" si="140"/>
        <v>0</v>
      </c>
      <c r="BK78" s="14">
        <f t="shared" si="141"/>
        <v>0</v>
      </c>
      <c r="BL78" s="14">
        <f t="shared" si="142"/>
        <v>0</v>
      </c>
      <c r="BM78" s="14">
        <f t="shared" si="143"/>
        <v>0</v>
      </c>
      <c r="BN78" s="14">
        <f t="shared" si="144"/>
        <v>0</v>
      </c>
      <c r="BO78" s="14">
        <f t="shared" si="145"/>
        <v>0</v>
      </c>
      <c r="BP78" s="14">
        <f t="shared" si="146"/>
        <v>0</v>
      </c>
      <c r="BQ78" s="37">
        <f t="shared" si="147"/>
        <v>0</v>
      </c>
    </row>
    <row r="79" spans="2:69">
      <c r="B79" s="12">
        <v>80</v>
      </c>
      <c r="C79" s="12"/>
      <c r="D79" s="11"/>
      <c r="E79" s="11"/>
      <c r="F79" s="11"/>
      <c r="G79" s="11"/>
      <c r="H79" s="11"/>
      <c r="I79" s="24"/>
      <c r="J79" s="24"/>
      <c r="K79" s="12"/>
      <c r="L79" s="12"/>
      <c r="M79" s="12"/>
      <c r="N79" s="12"/>
      <c r="O79" s="12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37">
        <f t="shared" si="96"/>
        <v>0</v>
      </c>
      <c r="AC79" s="29"/>
      <c r="AD79" s="38">
        <f t="shared" si="110"/>
        <v>0</v>
      </c>
      <c r="AE79" s="38">
        <f t="shared" si="111"/>
        <v>0</v>
      </c>
      <c r="AF79" s="38">
        <f t="shared" si="112"/>
        <v>0</v>
      </c>
      <c r="AG79" s="38">
        <f t="shared" si="113"/>
        <v>0</v>
      </c>
      <c r="AH79" s="38">
        <f t="shared" si="114"/>
        <v>0</v>
      </c>
      <c r="AI79" s="38">
        <f t="shared" si="115"/>
        <v>0</v>
      </c>
      <c r="AJ79" s="38">
        <f t="shared" si="116"/>
        <v>0</v>
      </c>
      <c r="AK79" s="38">
        <f t="shared" si="117"/>
        <v>0</v>
      </c>
      <c r="AL79" s="38">
        <f t="shared" si="118"/>
        <v>0</v>
      </c>
      <c r="AM79" s="38">
        <f t="shared" si="119"/>
        <v>0</v>
      </c>
      <c r="AN79" s="38">
        <f t="shared" si="120"/>
        <v>0</v>
      </c>
      <c r="AO79" s="38">
        <f t="shared" si="121"/>
        <v>0</v>
      </c>
      <c r="AP79" s="39">
        <f t="shared" si="122"/>
        <v>0</v>
      </c>
      <c r="AQ79" s="29"/>
      <c r="AR79" s="15" t="str">
        <f t="shared" si="123"/>
        <v/>
      </c>
      <c r="AS79" s="15" t="str">
        <f t="shared" si="124"/>
        <v/>
      </c>
      <c r="AT79" s="15" t="str">
        <f t="shared" si="125"/>
        <v/>
      </c>
      <c r="AU79" s="15" t="str">
        <f t="shared" si="126"/>
        <v/>
      </c>
      <c r="AV79" s="15" t="str">
        <f t="shared" si="127"/>
        <v/>
      </c>
      <c r="AW79" s="15" t="str">
        <f t="shared" si="128"/>
        <v/>
      </c>
      <c r="AX79" s="15" t="str">
        <f t="shared" si="129"/>
        <v/>
      </c>
      <c r="AY79" s="15" t="str">
        <f t="shared" si="130"/>
        <v/>
      </c>
      <c r="AZ79" s="15" t="str">
        <f t="shared" si="131"/>
        <v/>
      </c>
      <c r="BA79" s="15" t="str">
        <f t="shared" si="132"/>
        <v/>
      </c>
      <c r="BB79" s="15" t="str">
        <f t="shared" si="133"/>
        <v/>
      </c>
      <c r="BC79" s="15" t="str">
        <f t="shared" si="134"/>
        <v/>
      </c>
      <c r="BE79" s="14">
        <f t="shared" si="135"/>
        <v>0</v>
      </c>
      <c r="BF79" s="14">
        <f t="shared" si="136"/>
        <v>0</v>
      </c>
      <c r="BG79" s="14">
        <f t="shared" si="137"/>
        <v>0</v>
      </c>
      <c r="BH79" s="14">
        <f t="shared" si="138"/>
        <v>0</v>
      </c>
      <c r="BI79" s="14">
        <f t="shared" si="139"/>
        <v>0</v>
      </c>
      <c r="BJ79" s="14">
        <f t="shared" si="140"/>
        <v>0</v>
      </c>
      <c r="BK79" s="14">
        <f t="shared" si="141"/>
        <v>0</v>
      </c>
      <c r="BL79" s="14">
        <f t="shared" si="142"/>
        <v>0</v>
      </c>
      <c r="BM79" s="14">
        <f t="shared" si="143"/>
        <v>0</v>
      </c>
      <c r="BN79" s="14">
        <f t="shared" si="144"/>
        <v>0</v>
      </c>
      <c r="BO79" s="14">
        <f t="shared" si="145"/>
        <v>0</v>
      </c>
      <c r="BP79" s="14">
        <f t="shared" si="146"/>
        <v>0</v>
      </c>
      <c r="BQ79" s="37">
        <f t="shared" si="147"/>
        <v>0</v>
      </c>
    </row>
    <row r="80" spans="2:69">
      <c r="B80" s="12">
        <v>81</v>
      </c>
      <c r="C80" s="12"/>
      <c r="D80" s="11"/>
      <c r="E80" s="11"/>
      <c r="F80" s="11"/>
      <c r="G80" s="11"/>
      <c r="H80" s="11"/>
      <c r="I80" s="24"/>
      <c r="J80" s="24"/>
      <c r="K80" s="12"/>
      <c r="L80" s="12"/>
      <c r="M80" s="12"/>
      <c r="N80" s="12"/>
      <c r="O80" s="12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37">
        <f t="shared" si="96"/>
        <v>0</v>
      </c>
      <c r="AC80" s="29"/>
      <c r="AD80" s="38">
        <f t="shared" si="110"/>
        <v>0</v>
      </c>
      <c r="AE80" s="38">
        <f t="shared" si="111"/>
        <v>0</v>
      </c>
      <c r="AF80" s="38">
        <f t="shared" si="112"/>
        <v>0</v>
      </c>
      <c r="AG80" s="38">
        <f t="shared" si="113"/>
        <v>0</v>
      </c>
      <c r="AH80" s="38">
        <f t="shared" si="114"/>
        <v>0</v>
      </c>
      <c r="AI80" s="38">
        <f t="shared" si="115"/>
        <v>0</v>
      </c>
      <c r="AJ80" s="38">
        <f t="shared" si="116"/>
        <v>0</v>
      </c>
      <c r="AK80" s="38">
        <f t="shared" si="117"/>
        <v>0</v>
      </c>
      <c r="AL80" s="38">
        <f t="shared" si="118"/>
        <v>0</v>
      </c>
      <c r="AM80" s="38">
        <f t="shared" si="119"/>
        <v>0</v>
      </c>
      <c r="AN80" s="38">
        <f t="shared" si="120"/>
        <v>0</v>
      </c>
      <c r="AO80" s="38">
        <f t="shared" si="121"/>
        <v>0</v>
      </c>
      <c r="AP80" s="39">
        <f t="shared" si="122"/>
        <v>0</v>
      </c>
      <c r="AQ80" s="29"/>
      <c r="AR80" s="15" t="str">
        <f t="shared" si="123"/>
        <v/>
      </c>
      <c r="AS80" s="15" t="str">
        <f t="shared" si="124"/>
        <v/>
      </c>
      <c r="AT80" s="15" t="str">
        <f t="shared" si="125"/>
        <v/>
      </c>
      <c r="AU80" s="15" t="str">
        <f t="shared" si="126"/>
        <v/>
      </c>
      <c r="AV80" s="15" t="str">
        <f t="shared" si="127"/>
        <v/>
      </c>
      <c r="AW80" s="15" t="str">
        <f t="shared" si="128"/>
        <v/>
      </c>
      <c r="AX80" s="15" t="str">
        <f t="shared" si="129"/>
        <v/>
      </c>
      <c r="AY80" s="15" t="str">
        <f t="shared" si="130"/>
        <v/>
      </c>
      <c r="AZ80" s="15" t="str">
        <f t="shared" si="131"/>
        <v/>
      </c>
      <c r="BA80" s="15" t="str">
        <f t="shared" si="132"/>
        <v/>
      </c>
      <c r="BB80" s="15" t="str">
        <f t="shared" si="133"/>
        <v/>
      </c>
      <c r="BC80" s="15" t="str">
        <f t="shared" si="134"/>
        <v/>
      </c>
      <c r="BE80" s="14">
        <f t="shared" si="135"/>
        <v>0</v>
      </c>
      <c r="BF80" s="14">
        <f t="shared" si="136"/>
        <v>0</v>
      </c>
      <c r="BG80" s="14">
        <f t="shared" si="137"/>
        <v>0</v>
      </c>
      <c r="BH80" s="14">
        <f t="shared" si="138"/>
        <v>0</v>
      </c>
      <c r="BI80" s="14">
        <f t="shared" si="139"/>
        <v>0</v>
      </c>
      <c r="BJ80" s="14">
        <f t="shared" si="140"/>
        <v>0</v>
      </c>
      <c r="BK80" s="14">
        <f t="shared" si="141"/>
        <v>0</v>
      </c>
      <c r="BL80" s="14">
        <f t="shared" si="142"/>
        <v>0</v>
      </c>
      <c r="BM80" s="14">
        <f t="shared" si="143"/>
        <v>0</v>
      </c>
      <c r="BN80" s="14">
        <f t="shared" si="144"/>
        <v>0</v>
      </c>
      <c r="BO80" s="14">
        <f t="shared" si="145"/>
        <v>0</v>
      </c>
      <c r="BP80" s="14">
        <f t="shared" si="146"/>
        <v>0</v>
      </c>
      <c r="BQ80" s="37">
        <f t="shared" si="147"/>
        <v>0</v>
      </c>
    </row>
    <row r="81" spans="2:69">
      <c r="B81" s="12">
        <v>82</v>
      </c>
      <c r="C81" s="12"/>
      <c r="D81" s="11"/>
      <c r="E81" s="11"/>
      <c r="F81" s="11"/>
      <c r="G81" s="11"/>
      <c r="H81" s="11"/>
      <c r="I81" s="24"/>
      <c r="J81" s="24"/>
      <c r="K81" s="12"/>
      <c r="L81" s="12"/>
      <c r="M81" s="12"/>
      <c r="N81" s="12"/>
      <c r="O81" s="12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37">
        <f t="shared" si="96"/>
        <v>0</v>
      </c>
      <c r="AC81" s="29"/>
      <c r="AD81" s="38">
        <f t="shared" si="110"/>
        <v>0</v>
      </c>
      <c r="AE81" s="38">
        <f t="shared" si="111"/>
        <v>0</v>
      </c>
      <c r="AF81" s="38">
        <f t="shared" si="112"/>
        <v>0</v>
      </c>
      <c r="AG81" s="38">
        <f t="shared" si="113"/>
        <v>0</v>
      </c>
      <c r="AH81" s="38">
        <f t="shared" si="114"/>
        <v>0</v>
      </c>
      <c r="AI81" s="38">
        <f t="shared" si="115"/>
        <v>0</v>
      </c>
      <c r="AJ81" s="38">
        <f t="shared" si="116"/>
        <v>0</v>
      </c>
      <c r="AK81" s="38">
        <f t="shared" si="117"/>
        <v>0</v>
      </c>
      <c r="AL81" s="38">
        <f t="shared" si="118"/>
        <v>0</v>
      </c>
      <c r="AM81" s="38">
        <f t="shared" si="119"/>
        <v>0</v>
      </c>
      <c r="AN81" s="38">
        <f t="shared" si="120"/>
        <v>0</v>
      </c>
      <c r="AO81" s="38">
        <f t="shared" si="121"/>
        <v>0</v>
      </c>
      <c r="AP81" s="39">
        <f t="shared" si="122"/>
        <v>0</v>
      </c>
      <c r="AQ81" s="29"/>
      <c r="AR81" s="15" t="str">
        <f t="shared" si="123"/>
        <v/>
      </c>
      <c r="AS81" s="15" t="str">
        <f t="shared" si="124"/>
        <v/>
      </c>
      <c r="AT81" s="15" t="str">
        <f t="shared" si="125"/>
        <v/>
      </c>
      <c r="AU81" s="15" t="str">
        <f t="shared" si="126"/>
        <v/>
      </c>
      <c r="AV81" s="15" t="str">
        <f t="shared" si="127"/>
        <v/>
      </c>
      <c r="AW81" s="15" t="str">
        <f t="shared" si="128"/>
        <v/>
      </c>
      <c r="AX81" s="15" t="str">
        <f t="shared" si="129"/>
        <v/>
      </c>
      <c r="AY81" s="15" t="str">
        <f t="shared" si="130"/>
        <v/>
      </c>
      <c r="AZ81" s="15" t="str">
        <f t="shared" si="131"/>
        <v/>
      </c>
      <c r="BA81" s="15" t="str">
        <f t="shared" si="132"/>
        <v/>
      </c>
      <c r="BB81" s="15" t="str">
        <f t="shared" si="133"/>
        <v/>
      </c>
      <c r="BC81" s="15" t="str">
        <f t="shared" si="134"/>
        <v/>
      </c>
      <c r="BE81" s="14">
        <f t="shared" si="135"/>
        <v>0</v>
      </c>
      <c r="BF81" s="14">
        <f t="shared" si="136"/>
        <v>0</v>
      </c>
      <c r="BG81" s="14">
        <f t="shared" si="137"/>
        <v>0</v>
      </c>
      <c r="BH81" s="14">
        <f t="shared" si="138"/>
        <v>0</v>
      </c>
      <c r="BI81" s="14">
        <f t="shared" si="139"/>
        <v>0</v>
      </c>
      <c r="BJ81" s="14">
        <f t="shared" si="140"/>
        <v>0</v>
      </c>
      <c r="BK81" s="14">
        <f t="shared" si="141"/>
        <v>0</v>
      </c>
      <c r="BL81" s="14">
        <f t="shared" si="142"/>
        <v>0</v>
      </c>
      <c r="BM81" s="14">
        <f t="shared" si="143"/>
        <v>0</v>
      </c>
      <c r="BN81" s="14">
        <f t="shared" si="144"/>
        <v>0</v>
      </c>
      <c r="BO81" s="14">
        <f t="shared" si="145"/>
        <v>0</v>
      </c>
      <c r="BP81" s="14">
        <f t="shared" si="146"/>
        <v>0</v>
      </c>
      <c r="BQ81" s="37">
        <f t="shared" si="147"/>
        <v>0</v>
      </c>
    </row>
    <row r="82" spans="2:69">
      <c r="B82" s="12">
        <v>83</v>
      </c>
      <c r="C82" s="12"/>
      <c r="D82" s="11"/>
      <c r="E82" s="11"/>
      <c r="F82" s="11"/>
      <c r="G82" s="11"/>
      <c r="H82" s="11"/>
      <c r="I82" s="24"/>
      <c r="J82" s="24"/>
      <c r="K82" s="12"/>
      <c r="L82" s="12"/>
      <c r="M82" s="12"/>
      <c r="N82" s="12"/>
      <c r="O82" s="12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37">
        <f t="shared" si="96"/>
        <v>0</v>
      </c>
      <c r="AC82" s="29"/>
      <c r="AD82" s="38">
        <f t="shared" si="110"/>
        <v>0</v>
      </c>
      <c r="AE82" s="38">
        <f t="shared" si="111"/>
        <v>0</v>
      </c>
      <c r="AF82" s="38">
        <f t="shared" si="112"/>
        <v>0</v>
      </c>
      <c r="AG82" s="38">
        <f t="shared" si="113"/>
        <v>0</v>
      </c>
      <c r="AH82" s="38">
        <f t="shared" si="114"/>
        <v>0</v>
      </c>
      <c r="AI82" s="38">
        <f t="shared" si="115"/>
        <v>0</v>
      </c>
      <c r="AJ82" s="38">
        <f t="shared" si="116"/>
        <v>0</v>
      </c>
      <c r="AK82" s="38">
        <f t="shared" si="117"/>
        <v>0</v>
      </c>
      <c r="AL82" s="38">
        <f t="shared" si="118"/>
        <v>0</v>
      </c>
      <c r="AM82" s="38">
        <f t="shared" si="119"/>
        <v>0</v>
      </c>
      <c r="AN82" s="38">
        <f t="shared" si="120"/>
        <v>0</v>
      </c>
      <c r="AO82" s="38">
        <f t="shared" si="121"/>
        <v>0</v>
      </c>
      <c r="AP82" s="39">
        <f t="shared" si="122"/>
        <v>0</v>
      </c>
      <c r="AQ82" s="29"/>
      <c r="AR82" s="15" t="str">
        <f t="shared" si="123"/>
        <v/>
      </c>
      <c r="AS82" s="15" t="str">
        <f t="shared" si="124"/>
        <v/>
      </c>
      <c r="AT82" s="15" t="str">
        <f t="shared" si="125"/>
        <v/>
      </c>
      <c r="AU82" s="15" t="str">
        <f t="shared" si="126"/>
        <v/>
      </c>
      <c r="AV82" s="15" t="str">
        <f t="shared" si="127"/>
        <v/>
      </c>
      <c r="AW82" s="15" t="str">
        <f t="shared" si="128"/>
        <v/>
      </c>
      <c r="AX82" s="15" t="str">
        <f t="shared" si="129"/>
        <v/>
      </c>
      <c r="AY82" s="15" t="str">
        <f t="shared" si="130"/>
        <v/>
      </c>
      <c r="AZ82" s="15" t="str">
        <f t="shared" si="131"/>
        <v/>
      </c>
      <c r="BA82" s="15" t="str">
        <f t="shared" si="132"/>
        <v/>
      </c>
      <c r="BB82" s="15" t="str">
        <f t="shared" si="133"/>
        <v/>
      </c>
      <c r="BC82" s="15" t="str">
        <f t="shared" si="134"/>
        <v/>
      </c>
      <c r="BE82" s="14">
        <f t="shared" si="135"/>
        <v>0</v>
      </c>
      <c r="BF82" s="14">
        <f t="shared" si="136"/>
        <v>0</v>
      </c>
      <c r="BG82" s="14">
        <f t="shared" si="137"/>
        <v>0</v>
      </c>
      <c r="BH82" s="14">
        <f t="shared" si="138"/>
        <v>0</v>
      </c>
      <c r="BI82" s="14">
        <f t="shared" si="139"/>
        <v>0</v>
      </c>
      <c r="BJ82" s="14">
        <f t="shared" si="140"/>
        <v>0</v>
      </c>
      <c r="BK82" s="14">
        <f t="shared" si="141"/>
        <v>0</v>
      </c>
      <c r="BL82" s="14">
        <f t="shared" si="142"/>
        <v>0</v>
      </c>
      <c r="BM82" s="14">
        <f t="shared" si="143"/>
        <v>0</v>
      </c>
      <c r="BN82" s="14">
        <f t="shared" si="144"/>
        <v>0</v>
      </c>
      <c r="BO82" s="14">
        <f t="shared" si="145"/>
        <v>0</v>
      </c>
      <c r="BP82" s="14">
        <f t="shared" si="146"/>
        <v>0</v>
      </c>
      <c r="BQ82" s="37">
        <f t="shared" si="147"/>
        <v>0</v>
      </c>
    </row>
    <row r="83" spans="2:69">
      <c r="B83" s="12">
        <v>84</v>
      </c>
      <c r="C83" s="12"/>
      <c r="D83" s="11"/>
      <c r="E83" s="11"/>
      <c r="F83" s="11"/>
      <c r="G83" s="11"/>
      <c r="H83" s="11"/>
      <c r="I83" s="24"/>
      <c r="J83" s="24"/>
      <c r="K83" s="12"/>
      <c r="L83" s="12"/>
      <c r="M83" s="12"/>
      <c r="N83" s="12"/>
      <c r="O83" s="12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37">
        <f t="shared" si="96"/>
        <v>0</v>
      </c>
      <c r="AC83" s="29"/>
      <c r="AD83" s="38">
        <f t="shared" si="110"/>
        <v>0</v>
      </c>
      <c r="AE83" s="38">
        <f t="shared" si="111"/>
        <v>0</v>
      </c>
      <c r="AF83" s="38">
        <f t="shared" si="112"/>
        <v>0</v>
      </c>
      <c r="AG83" s="38">
        <f t="shared" si="113"/>
        <v>0</v>
      </c>
      <c r="AH83" s="38">
        <f t="shared" si="114"/>
        <v>0</v>
      </c>
      <c r="AI83" s="38">
        <f t="shared" si="115"/>
        <v>0</v>
      </c>
      <c r="AJ83" s="38">
        <f t="shared" si="116"/>
        <v>0</v>
      </c>
      <c r="AK83" s="38">
        <f t="shared" si="117"/>
        <v>0</v>
      </c>
      <c r="AL83" s="38">
        <f t="shared" si="118"/>
        <v>0</v>
      </c>
      <c r="AM83" s="38">
        <f t="shared" si="119"/>
        <v>0</v>
      </c>
      <c r="AN83" s="38">
        <f t="shared" si="120"/>
        <v>0</v>
      </c>
      <c r="AO83" s="38">
        <f t="shared" si="121"/>
        <v>0</v>
      </c>
      <c r="AP83" s="39">
        <f t="shared" si="122"/>
        <v>0</v>
      </c>
      <c r="AQ83" s="29"/>
      <c r="AR83" s="15" t="str">
        <f t="shared" si="123"/>
        <v/>
      </c>
      <c r="AS83" s="15" t="str">
        <f t="shared" si="124"/>
        <v/>
      </c>
      <c r="AT83" s="15" t="str">
        <f t="shared" si="125"/>
        <v/>
      </c>
      <c r="AU83" s="15" t="str">
        <f t="shared" si="126"/>
        <v/>
      </c>
      <c r="AV83" s="15" t="str">
        <f t="shared" si="127"/>
        <v/>
      </c>
      <c r="AW83" s="15" t="str">
        <f t="shared" si="128"/>
        <v/>
      </c>
      <c r="AX83" s="15" t="str">
        <f t="shared" si="129"/>
        <v/>
      </c>
      <c r="AY83" s="15" t="str">
        <f t="shared" si="130"/>
        <v/>
      </c>
      <c r="AZ83" s="15" t="str">
        <f t="shared" si="131"/>
        <v/>
      </c>
      <c r="BA83" s="15" t="str">
        <f t="shared" si="132"/>
        <v/>
      </c>
      <c r="BB83" s="15" t="str">
        <f t="shared" si="133"/>
        <v/>
      </c>
      <c r="BC83" s="15" t="str">
        <f t="shared" si="134"/>
        <v/>
      </c>
      <c r="BE83" s="14">
        <f t="shared" si="135"/>
        <v>0</v>
      </c>
      <c r="BF83" s="14">
        <f t="shared" si="136"/>
        <v>0</v>
      </c>
      <c r="BG83" s="14">
        <f t="shared" si="137"/>
        <v>0</v>
      </c>
      <c r="BH83" s="14">
        <f t="shared" si="138"/>
        <v>0</v>
      </c>
      <c r="BI83" s="14">
        <f t="shared" si="139"/>
        <v>0</v>
      </c>
      <c r="BJ83" s="14">
        <f t="shared" si="140"/>
        <v>0</v>
      </c>
      <c r="BK83" s="14">
        <f t="shared" si="141"/>
        <v>0</v>
      </c>
      <c r="BL83" s="14">
        <f t="shared" si="142"/>
        <v>0</v>
      </c>
      <c r="BM83" s="14">
        <f t="shared" si="143"/>
        <v>0</v>
      </c>
      <c r="BN83" s="14">
        <f t="shared" si="144"/>
        <v>0</v>
      </c>
      <c r="BO83" s="14">
        <f t="shared" si="145"/>
        <v>0</v>
      </c>
      <c r="BP83" s="14">
        <f t="shared" si="146"/>
        <v>0</v>
      </c>
      <c r="BQ83" s="37">
        <f t="shared" si="147"/>
        <v>0</v>
      </c>
    </row>
    <row r="84" spans="2:69">
      <c r="B84" s="12">
        <v>85</v>
      </c>
      <c r="C84" s="12"/>
      <c r="D84" s="11"/>
      <c r="E84" s="11"/>
      <c r="F84" s="11"/>
      <c r="G84" s="11"/>
      <c r="H84" s="11"/>
      <c r="I84" s="24"/>
      <c r="J84" s="24"/>
      <c r="K84" s="12"/>
      <c r="L84" s="12"/>
      <c r="M84" s="12"/>
      <c r="N84" s="12"/>
      <c r="O84" s="12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37">
        <f t="shared" ref="AB84:AB115" si="148">SUM(P84:AA84)</f>
        <v>0</v>
      </c>
      <c r="AC84" s="29"/>
      <c r="AD84" s="38">
        <f t="shared" si="110"/>
        <v>0</v>
      </c>
      <c r="AE84" s="38">
        <f t="shared" si="111"/>
        <v>0</v>
      </c>
      <c r="AF84" s="38">
        <f t="shared" si="112"/>
        <v>0</v>
      </c>
      <c r="AG84" s="38">
        <f t="shared" si="113"/>
        <v>0</v>
      </c>
      <c r="AH84" s="38">
        <f t="shared" si="114"/>
        <v>0</v>
      </c>
      <c r="AI84" s="38">
        <f t="shared" si="115"/>
        <v>0</v>
      </c>
      <c r="AJ84" s="38">
        <f t="shared" si="116"/>
        <v>0</v>
      </c>
      <c r="AK84" s="38">
        <f t="shared" si="117"/>
        <v>0</v>
      </c>
      <c r="AL84" s="38">
        <f t="shared" si="118"/>
        <v>0</v>
      </c>
      <c r="AM84" s="38">
        <f t="shared" si="119"/>
        <v>0</v>
      </c>
      <c r="AN84" s="38">
        <f t="shared" si="120"/>
        <v>0</v>
      </c>
      <c r="AO84" s="38">
        <f t="shared" si="121"/>
        <v>0</v>
      </c>
      <c r="AP84" s="39">
        <f t="shared" si="122"/>
        <v>0</v>
      </c>
      <c r="AQ84" s="29"/>
      <c r="AR84" s="15" t="str">
        <f t="shared" si="123"/>
        <v/>
      </c>
      <c r="AS84" s="15" t="str">
        <f t="shared" si="124"/>
        <v/>
      </c>
      <c r="AT84" s="15" t="str">
        <f t="shared" si="125"/>
        <v/>
      </c>
      <c r="AU84" s="15" t="str">
        <f t="shared" si="126"/>
        <v/>
      </c>
      <c r="AV84" s="15" t="str">
        <f t="shared" si="127"/>
        <v/>
      </c>
      <c r="AW84" s="15" t="str">
        <f t="shared" si="128"/>
        <v/>
      </c>
      <c r="AX84" s="15" t="str">
        <f t="shared" si="129"/>
        <v/>
      </c>
      <c r="AY84" s="15" t="str">
        <f t="shared" si="130"/>
        <v/>
      </c>
      <c r="AZ84" s="15" t="str">
        <f t="shared" si="131"/>
        <v/>
      </c>
      <c r="BA84" s="15" t="str">
        <f t="shared" si="132"/>
        <v/>
      </c>
      <c r="BB84" s="15" t="str">
        <f t="shared" si="133"/>
        <v/>
      </c>
      <c r="BC84" s="15" t="str">
        <f t="shared" si="134"/>
        <v/>
      </c>
      <c r="BE84" s="14">
        <f t="shared" si="135"/>
        <v>0</v>
      </c>
      <c r="BF84" s="14">
        <f t="shared" si="136"/>
        <v>0</v>
      </c>
      <c r="BG84" s="14">
        <f t="shared" si="137"/>
        <v>0</v>
      </c>
      <c r="BH84" s="14">
        <f t="shared" si="138"/>
        <v>0</v>
      </c>
      <c r="BI84" s="14">
        <f t="shared" si="139"/>
        <v>0</v>
      </c>
      <c r="BJ84" s="14">
        <f t="shared" si="140"/>
        <v>0</v>
      </c>
      <c r="BK84" s="14">
        <f t="shared" si="141"/>
        <v>0</v>
      </c>
      <c r="BL84" s="14">
        <f t="shared" si="142"/>
        <v>0</v>
      </c>
      <c r="BM84" s="14">
        <f t="shared" si="143"/>
        <v>0</v>
      </c>
      <c r="BN84" s="14">
        <f t="shared" si="144"/>
        <v>0</v>
      </c>
      <c r="BO84" s="14">
        <f t="shared" si="145"/>
        <v>0</v>
      </c>
      <c r="BP84" s="14">
        <f t="shared" si="146"/>
        <v>0</v>
      </c>
      <c r="BQ84" s="37">
        <f t="shared" si="147"/>
        <v>0</v>
      </c>
    </row>
    <row r="85" spans="2:69">
      <c r="B85" s="12">
        <v>86</v>
      </c>
      <c r="C85" s="12"/>
      <c r="D85" s="11"/>
      <c r="E85" s="11"/>
      <c r="F85" s="11"/>
      <c r="G85" s="11"/>
      <c r="H85" s="11"/>
      <c r="I85" s="24"/>
      <c r="J85" s="24"/>
      <c r="K85" s="12"/>
      <c r="L85" s="12"/>
      <c r="M85" s="12"/>
      <c r="N85" s="12"/>
      <c r="O85" s="12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37">
        <f t="shared" si="148"/>
        <v>0</v>
      </c>
      <c r="AC85" s="29"/>
      <c r="AD85" s="38">
        <f t="shared" si="110"/>
        <v>0</v>
      </c>
      <c r="AE85" s="38">
        <f t="shared" si="111"/>
        <v>0</v>
      </c>
      <c r="AF85" s="38">
        <f t="shared" si="112"/>
        <v>0</v>
      </c>
      <c r="AG85" s="38">
        <f t="shared" si="113"/>
        <v>0</v>
      </c>
      <c r="AH85" s="38">
        <f t="shared" si="114"/>
        <v>0</v>
      </c>
      <c r="AI85" s="38">
        <f t="shared" si="115"/>
        <v>0</v>
      </c>
      <c r="AJ85" s="38">
        <f t="shared" si="116"/>
        <v>0</v>
      </c>
      <c r="AK85" s="38">
        <f t="shared" si="117"/>
        <v>0</v>
      </c>
      <c r="AL85" s="38">
        <f t="shared" si="118"/>
        <v>0</v>
      </c>
      <c r="AM85" s="38">
        <f t="shared" si="119"/>
        <v>0</v>
      </c>
      <c r="AN85" s="38">
        <f t="shared" si="120"/>
        <v>0</v>
      </c>
      <c r="AO85" s="38">
        <f t="shared" si="121"/>
        <v>0</v>
      </c>
      <c r="AP85" s="39">
        <f t="shared" si="122"/>
        <v>0</v>
      </c>
      <c r="AQ85" s="29"/>
      <c r="AR85" s="15" t="str">
        <f t="shared" si="123"/>
        <v/>
      </c>
      <c r="AS85" s="15" t="str">
        <f t="shared" si="124"/>
        <v/>
      </c>
      <c r="AT85" s="15" t="str">
        <f t="shared" si="125"/>
        <v/>
      </c>
      <c r="AU85" s="15" t="str">
        <f t="shared" si="126"/>
        <v/>
      </c>
      <c r="AV85" s="15" t="str">
        <f t="shared" si="127"/>
        <v/>
      </c>
      <c r="AW85" s="15" t="str">
        <f t="shared" si="128"/>
        <v/>
      </c>
      <c r="AX85" s="15" t="str">
        <f t="shared" si="129"/>
        <v/>
      </c>
      <c r="AY85" s="15" t="str">
        <f t="shared" si="130"/>
        <v/>
      </c>
      <c r="AZ85" s="15" t="str">
        <f t="shared" si="131"/>
        <v/>
      </c>
      <c r="BA85" s="15" t="str">
        <f t="shared" si="132"/>
        <v/>
      </c>
      <c r="BB85" s="15" t="str">
        <f t="shared" si="133"/>
        <v/>
      </c>
      <c r="BC85" s="15" t="str">
        <f t="shared" si="134"/>
        <v/>
      </c>
      <c r="BE85" s="14">
        <f t="shared" si="135"/>
        <v>0</v>
      </c>
      <c r="BF85" s="14">
        <f t="shared" si="136"/>
        <v>0</v>
      </c>
      <c r="BG85" s="14">
        <f t="shared" si="137"/>
        <v>0</v>
      </c>
      <c r="BH85" s="14">
        <f t="shared" si="138"/>
        <v>0</v>
      </c>
      <c r="BI85" s="14">
        <f t="shared" si="139"/>
        <v>0</v>
      </c>
      <c r="BJ85" s="14">
        <f t="shared" si="140"/>
        <v>0</v>
      </c>
      <c r="BK85" s="14">
        <f t="shared" si="141"/>
        <v>0</v>
      </c>
      <c r="BL85" s="14">
        <f t="shared" si="142"/>
        <v>0</v>
      </c>
      <c r="BM85" s="14">
        <f t="shared" si="143"/>
        <v>0</v>
      </c>
      <c r="BN85" s="14">
        <f t="shared" si="144"/>
        <v>0</v>
      </c>
      <c r="BO85" s="14">
        <f t="shared" si="145"/>
        <v>0</v>
      </c>
      <c r="BP85" s="14">
        <f t="shared" si="146"/>
        <v>0</v>
      </c>
      <c r="BQ85" s="37">
        <f t="shared" si="147"/>
        <v>0</v>
      </c>
    </row>
    <row r="86" spans="2:69">
      <c r="B86" s="12">
        <v>87</v>
      </c>
      <c r="C86" s="12"/>
      <c r="D86" s="11"/>
      <c r="E86" s="11"/>
      <c r="F86" s="11"/>
      <c r="G86" s="11"/>
      <c r="H86" s="11"/>
      <c r="I86" s="24"/>
      <c r="J86" s="24"/>
      <c r="K86" s="12"/>
      <c r="L86" s="12"/>
      <c r="M86" s="12"/>
      <c r="N86" s="12"/>
      <c r="O86" s="12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37">
        <f t="shared" si="148"/>
        <v>0</v>
      </c>
      <c r="AC86" s="29"/>
      <c r="AD86" s="38">
        <f t="shared" si="110"/>
        <v>0</v>
      </c>
      <c r="AE86" s="38">
        <f t="shared" si="111"/>
        <v>0</v>
      </c>
      <c r="AF86" s="38">
        <f t="shared" si="112"/>
        <v>0</v>
      </c>
      <c r="AG86" s="38">
        <f t="shared" si="113"/>
        <v>0</v>
      </c>
      <c r="AH86" s="38">
        <f t="shared" si="114"/>
        <v>0</v>
      </c>
      <c r="AI86" s="38">
        <f t="shared" si="115"/>
        <v>0</v>
      </c>
      <c r="AJ86" s="38">
        <f t="shared" si="116"/>
        <v>0</v>
      </c>
      <c r="AK86" s="38">
        <f t="shared" si="117"/>
        <v>0</v>
      </c>
      <c r="AL86" s="38">
        <f t="shared" si="118"/>
        <v>0</v>
      </c>
      <c r="AM86" s="38">
        <f t="shared" si="119"/>
        <v>0</v>
      </c>
      <c r="AN86" s="38">
        <f t="shared" si="120"/>
        <v>0</v>
      </c>
      <c r="AO86" s="38">
        <f t="shared" si="121"/>
        <v>0</v>
      </c>
      <c r="AP86" s="39">
        <f t="shared" si="122"/>
        <v>0</v>
      </c>
      <c r="AQ86" s="29"/>
      <c r="AR86" s="15" t="str">
        <f t="shared" si="123"/>
        <v/>
      </c>
      <c r="AS86" s="15" t="str">
        <f t="shared" si="124"/>
        <v/>
      </c>
      <c r="AT86" s="15" t="str">
        <f t="shared" si="125"/>
        <v/>
      </c>
      <c r="AU86" s="15" t="str">
        <f t="shared" si="126"/>
        <v/>
      </c>
      <c r="AV86" s="15" t="str">
        <f t="shared" si="127"/>
        <v/>
      </c>
      <c r="AW86" s="15" t="str">
        <f t="shared" si="128"/>
        <v/>
      </c>
      <c r="AX86" s="15" t="str">
        <f t="shared" si="129"/>
        <v/>
      </c>
      <c r="AY86" s="15" t="str">
        <f t="shared" si="130"/>
        <v/>
      </c>
      <c r="AZ86" s="15" t="str">
        <f t="shared" si="131"/>
        <v/>
      </c>
      <c r="BA86" s="15" t="str">
        <f t="shared" si="132"/>
        <v/>
      </c>
      <c r="BB86" s="15" t="str">
        <f t="shared" si="133"/>
        <v/>
      </c>
      <c r="BC86" s="15" t="str">
        <f t="shared" si="134"/>
        <v/>
      </c>
      <c r="BE86" s="14">
        <f t="shared" si="135"/>
        <v>0</v>
      </c>
      <c r="BF86" s="14">
        <f t="shared" si="136"/>
        <v>0</v>
      </c>
      <c r="BG86" s="14">
        <f t="shared" si="137"/>
        <v>0</v>
      </c>
      <c r="BH86" s="14">
        <f t="shared" si="138"/>
        <v>0</v>
      </c>
      <c r="BI86" s="14">
        <f t="shared" si="139"/>
        <v>0</v>
      </c>
      <c r="BJ86" s="14">
        <f t="shared" si="140"/>
        <v>0</v>
      </c>
      <c r="BK86" s="14">
        <f t="shared" si="141"/>
        <v>0</v>
      </c>
      <c r="BL86" s="14">
        <f t="shared" si="142"/>
        <v>0</v>
      </c>
      <c r="BM86" s="14">
        <f t="shared" si="143"/>
        <v>0</v>
      </c>
      <c r="BN86" s="14">
        <f t="shared" si="144"/>
        <v>0</v>
      </c>
      <c r="BO86" s="14">
        <f t="shared" si="145"/>
        <v>0</v>
      </c>
      <c r="BP86" s="14">
        <f t="shared" si="146"/>
        <v>0</v>
      </c>
      <c r="BQ86" s="37">
        <f t="shared" si="147"/>
        <v>0</v>
      </c>
    </row>
    <row r="87" spans="2:69">
      <c r="B87" s="12">
        <v>88</v>
      </c>
      <c r="C87" s="12"/>
      <c r="D87" s="11"/>
      <c r="E87" s="11"/>
      <c r="F87" s="11"/>
      <c r="G87" s="11"/>
      <c r="H87" s="11"/>
      <c r="I87" s="24"/>
      <c r="J87" s="24"/>
      <c r="K87" s="12"/>
      <c r="L87" s="12"/>
      <c r="M87" s="12"/>
      <c r="N87" s="12"/>
      <c r="O87" s="12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37">
        <f t="shared" si="148"/>
        <v>0</v>
      </c>
      <c r="AC87" s="29"/>
      <c r="AD87" s="38">
        <f t="shared" si="110"/>
        <v>0</v>
      </c>
      <c r="AE87" s="38">
        <f t="shared" si="111"/>
        <v>0</v>
      </c>
      <c r="AF87" s="38">
        <f t="shared" si="112"/>
        <v>0</v>
      </c>
      <c r="AG87" s="38">
        <f t="shared" si="113"/>
        <v>0</v>
      </c>
      <c r="AH87" s="38">
        <f t="shared" si="114"/>
        <v>0</v>
      </c>
      <c r="AI87" s="38">
        <f t="shared" si="115"/>
        <v>0</v>
      </c>
      <c r="AJ87" s="38">
        <f t="shared" si="116"/>
        <v>0</v>
      </c>
      <c r="AK87" s="38">
        <f t="shared" si="117"/>
        <v>0</v>
      </c>
      <c r="AL87" s="38">
        <f t="shared" si="118"/>
        <v>0</v>
      </c>
      <c r="AM87" s="38">
        <f t="shared" si="119"/>
        <v>0</v>
      </c>
      <c r="AN87" s="38">
        <f t="shared" si="120"/>
        <v>0</v>
      </c>
      <c r="AO87" s="38">
        <f t="shared" si="121"/>
        <v>0</v>
      </c>
      <c r="AP87" s="39">
        <f t="shared" si="122"/>
        <v>0</v>
      </c>
      <c r="AQ87" s="29"/>
      <c r="AR87" s="15" t="str">
        <f t="shared" si="123"/>
        <v/>
      </c>
      <c r="AS87" s="15" t="str">
        <f t="shared" si="124"/>
        <v/>
      </c>
      <c r="AT87" s="15" t="str">
        <f t="shared" si="125"/>
        <v/>
      </c>
      <c r="AU87" s="15" t="str">
        <f t="shared" si="126"/>
        <v/>
      </c>
      <c r="AV87" s="15" t="str">
        <f t="shared" si="127"/>
        <v/>
      </c>
      <c r="AW87" s="15" t="str">
        <f t="shared" si="128"/>
        <v/>
      </c>
      <c r="AX87" s="15" t="str">
        <f t="shared" si="129"/>
        <v/>
      </c>
      <c r="AY87" s="15" t="str">
        <f t="shared" si="130"/>
        <v/>
      </c>
      <c r="AZ87" s="15" t="str">
        <f t="shared" si="131"/>
        <v/>
      </c>
      <c r="BA87" s="15" t="str">
        <f t="shared" si="132"/>
        <v/>
      </c>
      <c r="BB87" s="15" t="str">
        <f t="shared" si="133"/>
        <v/>
      </c>
      <c r="BC87" s="15" t="str">
        <f t="shared" si="134"/>
        <v/>
      </c>
      <c r="BE87" s="14">
        <f t="shared" si="135"/>
        <v>0</v>
      </c>
      <c r="BF87" s="14">
        <f t="shared" si="136"/>
        <v>0</v>
      </c>
      <c r="BG87" s="14">
        <f t="shared" si="137"/>
        <v>0</v>
      </c>
      <c r="BH87" s="14">
        <f t="shared" si="138"/>
        <v>0</v>
      </c>
      <c r="BI87" s="14">
        <f t="shared" si="139"/>
        <v>0</v>
      </c>
      <c r="BJ87" s="14">
        <f t="shared" si="140"/>
        <v>0</v>
      </c>
      <c r="BK87" s="14">
        <f t="shared" si="141"/>
        <v>0</v>
      </c>
      <c r="BL87" s="14">
        <f t="shared" si="142"/>
        <v>0</v>
      </c>
      <c r="BM87" s="14">
        <f t="shared" si="143"/>
        <v>0</v>
      </c>
      <c r="BN87" s="14">
        <f t="shared" si="144"/>
        <v>0</v>
      </c>
      <c r="BO87" s="14">
        <f t="shared" si="145"/>
        <v>0</v>
      </c>
      <c r="BP87" s="14">
        <f t="shared" si="146"/>
        <v>0</v>
      </c>
      <c r="BQ87" s="37">
        <f t="shared" si="147"/>
        <v>0</v>
      </c>
    </row>
    <row r="88" spans="2:69">
      <c r="B88" s="12">
        <v>89</v>
      </c>
      <c r="C88" s="12"/>
      <c r="D88" s="11"/>
      <c r="E88" s="11"/>
      <c r="F88" s="11"/>
      <c r="G88" s="11"/>
      <c r="H88" s="11"/>
      <c r="I88" s="24"/>
      <c r="J88" s="24"/>
      <c r="K88" s="12"/>
      <c r="L88" s="12"/>
      <c r="M88" s="12"/>
      <c r="N88" s="12"/>
      <c r="O88" s="12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37">
        <f t="shared" si="148"/>
        <v>0</v>
      </c>
      <c r="AC88" s="29"/>
      <c r="AD88" s="38">
        <f t="shared" ref="AD88:AD93" si="149">P88*$J88</f>
        <v>0</v>
      </c>
      <c r="AE88" s="38">
        <f t="shared" ref="AE88:AE93" si="150">Q88*$J88</f>
        <v>0</v>
      </c>
      <c r="AF88" s="38">
        <f t="shared" ref="AF88:AF93" si="151">R88*$J88</f>
        <v>0</v>
      </c>
      <c r="AG88" s="38">
        <f t="shared" ref="AG88:AG93" si="152">S88*$J88</f>
        <v>0</v>
      </c>
      <c r="AH88" s="38">
        <f t="shared" ref="AH88:AH93" si="153">T88*$J88</f>
        <v>0</v>
      </c>
      <c r="AI88" s="38">
        <f t="shared" ref="AI88:AI93" si="154">U88*$J88</f>
        <v>0</v>
      </c>
      <c r="AJ88" s="38">
        <f t="shared" ref="AJ88:AJ93" si="155">V88*$J88</f>
        <v>0</v>
      </c>
      <c r="AK88" s="38">
        <f t="shared" ref="AK88:AK93" si="156">W88*$J88</f>
        <v>0</v>
      </c>
      <c r="AL88" s="38">
        <f t="shared" ref="AL88:AL93" si="157">X88*$J88</f>
        <v>0</v>
      </c>
      <c r="AM88" s="38">
        <f t="shared" ref="AM88:AM93" si="158">Y88*$J88</f>
        <v>0</v>
      </c>
      <c r="AN88" s="38">
        <f t="shared" ref="AN88:AN93" si="159">Z88*$J88</f>
        <v>0</v>
      </c>
      <c r="AO88" s="38">
        <f t="shared" ref="AO88:AO93" si="160">AA88*$J88</f>
        <v>0</v>
      </c>
      <c r="AP88" s="39">
        <f t="shared" ref="AP88:AP93" si="161">SUM(AD88:AO88)</f>
        <v>0</v>
      </c>
      <c r="AQ88" s="29"/>
      <c r="AR88" s="15" t="str">
        <f t="shared" ref="AR88:AR93" si="162">IFERROR((P88-AD88)/P88,"")</f>
        <v/>
      </c>
      <c r="AS88" s="15" t="str">
        <f t="shared" ref="AS88:AS93" si="163">IFERROR((Q88-AE88)/Q88,"")</f>
        <v/>
      </c>
      <c r="AT88" s="15" t="str">
        <f t="shared" ref="AT88:AT93" si="164">IFERROR((R88-AF88)/R88,"")</f>
        <v/>
      </c>
      <c r="AU88" s="15" t="str">
        <f t="shared" ref="AU88:AU93" si="165">IFERROR((S88-AG88)/S88,"")</f>
        <v/>
      </c>
      <c r="AV88" s="15" t="str">
        <f t="shared" ref="AV88:AV93" si="166">IFERROR((T88-AH88)/T88,"")</f>
        <v/>
      </c>
      <c r="AW88" s="15" t="str">
        <f t="shared" ref="AW88:AW93" si="167">IFERROR((U88-AI88)/U88,"")</f>
        <v/>
      </c>
      <c r="AX88" s="15" t="str">
        <f t="shared" ref="AX88:AX93" si="168">IFERROR((V88-AJ88)/V88,"")</f>
        <v/>
      </c>
      <c r="AY88" s="15" t="str">
        <f t="shared" ref="AY88:AY93" si="169">IFERROR((W88-AK88)/W88,"")</f>
        <v/>
      </c>
      <c r="AZ88" s="15" t="str">
        <f t="shared" ref="AZ88:AZ93" si="170">IFERROR((X88-AL88)/X88,"")</f>
        <v/>
      </c>
      <c r="BA88" s="15" t="str">
        <f t="shared" ref="BA88:BA93" si="171">IFERROR((Y88-AM88)/Y88,"")</f>
        <v/>
      </c>
      <c r="BB88" s="15" t="str">
        <f t="shared" ref="BB88:BB93" si="172">IFERROR((Z88-AN88)/Z88,"")</f>
        <v/>
      </c>
      <c r="BC88" s="15" t="str">
        <f t="shared" ref="BC88:BC93" si="173">IFERROR((AA88-AO88)/AA88,"")</f>
        <v/>
      </c>
      <c r="BE88" s="14">
        <f t="shared" ref="BE88:BE93" si="174">$I88*P88</f>
        <v>0</v>
      </c>
      <c r="BF88" s="14">
        <f t="shared" ref="BF88:BF93" si="175">$I88*Q88</f>
        <v>0</v>
      </c>
      <c r="BG88" s="14">
        <f t="shared" ref="BG88:BG93" si="176">$I88*R88</f>
        <v>0</v>
      </c>
      <c r="BH88" s="14">
        <f t="shared" ref="BH88:BH93" si="177">$I88*S88</f>
        <v>0</v>
      </c>
      <c r="BI88" s="14">
        <f t="shared" ref="BI88:BI93" si="178">$I88*T88</f>
        <v>0</v>
      </c>
      <c r="BJ88" s="14">
        <f t="shared" ref="BJ88:BJ93" si="179">$I88*U88</f>
        <v>0</v>
      </c>
      <c r="BK88" s="14">
        <f t="shared" ref="BK88:BK93" si="180">$I88*V88</f>
        <v>0</v>
      </c>
      <c r="BL88" s="14">
        <f t="shared" ref="BL88:BL93" si="181">$I88*W88</f>
        <v>0</v>
      </c>
      <c r="BM88" s="14">
        <f t="shared" ref="BM88:BM93" si="182">$I88*X88</f>
        <v>0</v>
      </c>
      <c r="BN88" s="14">
        <f t="shared" ref="BN88:BN93" si="183">$I88*Y88</f>
        <v>0</v>
      </c>
      <c r="BO88" s="14">
        <f t="shared" ref="BO88:BO93" si="184">$I88*Z88</f>
        <v>0</v>
      </c>
      <c r="BP88" s="14">
        <f t="shared" ref="BP88:BP93" si="185">$I88*AA88</f>
        <v>0</v>
      </c>
      <c r="BQ88" s="37">
        <f t="shared" ref="BQ88:BQ93" si="186">SUM(BE88:BP88)</f>
        <v>0</v>
      </c>
    </row>
    <row r="89" spans="2:69">
      <c r="B89" s="12">
        <v>90</v>
      </c>
      <c r="C89" s="12"/>
      <c r="D89" s="11"/>
      <c r="E89" s="11"/>
      <c r="F89" s="11"/>
      <c r="G89" s="11"/>
      <c r="H89" s="11"/>
      <c r="I89" s="24"/>
      <c r="J89" s="24"/>
      <c r="K89" s="12"/>
      <c r="L89" s="12"/>
      <c r="M89" s="12"/>
      <c r="N89" s="12"/>
      <c r="O89" s="12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37">
        <f t="shared" si="148"/>
        <v>0</v>
      </c>
      <c r="AC89" s="29"/>
      <c r="AD89" s="38">
        <f t="shared" si="149"/>
        <v>0</v>
      </c>
      <c r="AE89" s="38">
        <f t="shared" si="150"/>
        <v>0</v>
      </c>
      <c r="AF89" s="38">
        <f t="shared" si="151"/>
        <v>0</v>
      </c>
      <c r="AG89" s="38">
        <f t="shared" si="152"/>
        <v>0</v>
      </c>
      <c r="AH89" s="38">
        <f t="shared" si="153"/>
        <v>0</v>
      </c>
      <c r="AI89" s="38">
        <f t="shared" si="154"/>
        <v>0</v>
      </c>
      <c r="AJ89" s="38">
        <f t="shared" si="155"/>
        <v>0</v>
      </c>
      <c r="AK89" s="38">
        <f t="shared" si="156"/>
        <v>0</v>
      </c>
      <c r="AL89" s="38">
        <f t="shared" si="157"/>
        <v>0</v>
      </c>
      <c r="AM89" s="38">
        <f t="shared" si="158"/>
        <v>0</v>
      </c>
      <c r="AN89" s="38">
        <f t="shared" si="159"/>
        <v>0</v>
      </c>
      <c r="AO89" s="38">
        <f t="shared" si="160"/>
        <v>0</v>
      </c>
      <c r="AP89" s="39">
        <f t="shared" si="161"/>
        <v>0</v>
      </c>
      <c r="AQ89" s="29"/>
      <c r="AR89" s="15" t="str">
        <f t="shared" si="162"/>
        <v/>
      </c>
      <c r="AS89" s="15" t="str">
        <f t="shared" si="163"/>
        <v/>
      </c>
      <c r="AT89" s="15" t="str">
        <f t="shared" si="164"/>
        <v/>
      </c>
      <c r="AU89" s="15" t="str">
        <f t="shared" si="165"/>
        <v/>
      </c>
      <c r="AV89" s="15" t="str">
        <f t="shared" si="166"/>
        <v/>
      </c>
      <c r="AW89" s="15" t="str">
        <f t="shared" si="167"/>
        <v/>
      </c>
      <c r="AX89" s="15" t="str">
        <f t="shared" si="168"/>
        <v/>
      </c>
      <c r="AY89" s="15" t="str">
        <f t="shared" si="169"/>
        <v/>
      </c>
      <c r="AZ89" s="15" t="str">
        <f t="shared" si="170"/>
        <v/>
      </c>
      <c r="BA89" s="15" t="str">
        <f t="shared" si="171"/>
        <v/>
      </c>
      <c r="BB89" s="15" t="str">
        <f t="shared" si="172"/>
        <v/>
      </c>
      <c r="BC89" s="15" t="str">
        <f t="shared" si="173"/>
        <v/>
      </c>
      <c r="BE89" s="14">
        <f t="shared" si="174"/>
        <v>0</v>
      </c>
      <c r="BF89" s="14">
        <f t="shared" si="175"/>
        <v>0</v>
      </c>
      <c r="BG89" s="14">
        <f t="shared" si="176"/>
        <v>0</v>
      </c>
      <c r="BH89" s="14">
        <f t="shared" si="177"/>
        <v>0</v>
      </c>
      <c r="BI89" s="14">
        <f t="shared" si="178"/>
        <v>0</v>
      </c>
      <c r="BJ89" s="14">
        <f t="shared" si="179"/>
        <v>0</v>
      </c>
      <c r="BK89" s="14">
        <f t="shared" si="180"/>
        <v>0</v>
      </c>
      <c r="BL89" s="14">
        <f t="shared" si="181"/>
        <v>0</v>
      </c>
      <c r="BM89" s="14">
        <f t="shared" si="182"/>
        <v>0</v>
      </c>
      <c r="BN89" s="14">
        <f t="shared" si="183"/>
        <v>0</v>
      </c>
      <c r="BO89" s="14">
        <f t="shared" si="184"/>
        <v>0</v>
      </c>
      <c r="BP89" s="14">
        <f t="shared" si="185"/>
        <v>0</v>
      </c>
      <c r="BQ89" s="37">
        <f t="shared" si="186"/>
        <v>0</v>
      </c>
    </row>
    <row r="90" spans="2:69">
      <c r="B90" s="12">
        <v>91</v>
      </c>
      <c r="C90" s="12"/>
      <c r="D90" s="11"/>
      <c r="E90" s="11"/>
      <c r="F90" s="11"/>
      <c r="G90" s="11"/>
      <c r="H90" s="11"/>
      <c r="I90" s="24"/>
      <c r="J90" s="24"/>
      <c r="K90" s="12"/>
      <c r="L90" s="12"/>
      <c r="M90" s="12"/>
      <c r="N90" s="12"/>
      <c r="O90" s="12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37">
        <f t="shared" si="148"/>
        <v>0</v>
      </c>
      <c r="AC90" s="29"/>
      <c r="AD90" s="38">
        <f t="shared" si="149"/>
        <v>0</v>
      </c>
      <c r="AE90" s="38">
        <f t="shared" si="150"/>
        <v>0</v>
      </c>
      <c r="AF90" s="38">
        <f t="shared" si="151"/>
        <v>0</v>
      </c>
      <c r="AG90" s="38">
        <f t="shared" si="152"/>
        <v>0</v>
      </c>
      <c r="AH90" s="38">
        <f t="shared" si="153"/>
        <v>0</v>
      </c>
      <c r="AI90" s="38">
        <f t="shared" si="154"/>
        <v>0</v>
      </c>
      <c r="AJ90" s="38">
        <f t="shared" si="155"/>
        <v>0</v>
      </c>
      <c r="AK90" s="38">
        <f t="shared" si="156"/>
        <v>0</v>
      </c>
      <c r="AL90" s="38">
        <f t="shared" si="157"/>
        <v>0</v>
      </c>
      <c r="AM90" s="38">
        <f t="shared" si="158"/>
        <v>0</v>
      </c>
      <c r="AN90" s="38">
        <f t="shared" si="159"/>
        <v>0</v>
      </c>
      <c r="AO90" s="38">
        <f t="shared" si="160"/>
        <v>0</v>
      </c>
      <c r="AP90" s="39">
        <f t="shared" si="161"/>
        <v>0</v>
      </c>
      <c r="AQ90" s="29"/>
      <c r="AR90" s="15" t="str">
        <f t="shared" si="162"/>
        <v/>
      </c>
      <c r="AS90" s="15" t="str">
        <f t="shared" si="163"/>
        <v/>
      </c>
      <c r="AT90" s="15" t="str">
        <f t="shared" si="164"/>
        <v/>
      </c>
      <c r="AU90" s="15" t="str">
        <f t="shared" si="165"/>
        <v/>
      </c>
      <c r="AV90" s="15" t="str">
        <f t="shared" si="166"/>
        <v/>
      </c>
      <c r="AW90" s="15" t="str">
        <f t="shared" si="167"/>
        <v/>
      </c>
      <c r="AX90" s="15" t="str">
        <f t="shared" si="168"/>
        <v/>
      </c>
      <c r="AY90" s="15" t="str">
        <f t="shared" si="169"/>
        <v/>
      </c>
      <c r="AZ90" s="15" t="str">
        <f t="shared" si="170"/>
        <v/>
      </c>
      <c r="BA90" s="15" t="str">
        <f t="shared" si="171"/>
        <v/>
      </c>
      <c r="BB90" s="15" t="str">
        <f t="shared" si="172"/>
        <v/>
      </c>
      <c r="BC90" s="15" t="str">
        <f t="shared" si="173"/>
        <v/>
      </c>
      <c r="BE90" s="14">
        <f t="shared" si="174"/>
        <v>0</v>
      </c>
      <c r="BF90" s="14">
        <f t="shared" si="175"/>
        <v>0</v>
      </c>
      <c r="BG90" s="14">
        <f t="shared" si="176"/>
        <v>0</v>
      </c>
      <c r="BH90" s="14">
        <f t="shared" si="177"/>
        <v>0</v>
      </c>
      <c r="BI90" s="14">
        <f t="shared" si="178"/>
        <v>0</v>
      </c>
      <c r="BJ90" s="14">
        <f t="shared" si="179"/>
        <v>0</v>
      </c>
      <c r="BK90" s="14">
        <f t="shared" si="180"/>
        <v>0</v>
      </c>
      <c r="BL90" s="14">
        <f t="shared" si="181"/>
        <v>0</v>
      </c>
      <c r="BM90" s="14">
        <f t="shared" si="182"/>
        <v>0</v>
      </c>
      <c r="BN90" s="14">
        <f t="shared" si="183"/>
        <v>0</v>
      </c>
      <c r="BO90" s="14">
        <f t="shared" si="184"/>
        <v>0</v>
      </c>
      <c r="BP90" s="14">
        <f t="shared" si="185"/>
        <v>0</v>
      </c>
      <c r="BQ90" s="37">
        <f t="shared" si="186"/>
        <v>0</v>
      </c>
    </row>
    <row r="91" spans="2:69">
      <c r="B91" s="12">
        <v>92</v>
      </c>
      <c r="C91" s="12"/>
      <c r="D91" s="11"/>
      <c r="E91" s="11"/>
      <c r="F91" s="11"/>
      <c r="G91" s="11"/>
      <c r="H91" s="11"/>
      <c r="I91" s="24"/>
      <c r="J91" s="24"/>
      <c r="K91" s="12"/>
      <c r="L91" s="12"/>
      <c r="M91" s="12"/>
      <c r="N91" s="12"/>
      <c r="O91" s="12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37">
        <f t="shared" si="148"/>
        <v>0</v>
      </c>
      <c r="AC91" s="29"/>
      <c r="AD91" s="38">
        <f t="shared" si="149"/>
        <v>0</v>
      </c>
      <c r="AE91" s="38">
        <f t="shared" si="150"/>
        <v>0</v>
      </c>
      <c r="AF91" s="38">
        <f t="shared" si="151"/>
        <v>0</v>
      </c>
      <c r="AG91" s="38">
        <f t="shared" si="152"/>
        <v>0</v>
      </c>
      <c r="AH91" s="38">
        <f t="shared" si="153"/>
        <v>0</v>
      </c>
      <c r="AI91" s="38">
        <f t="shared" si="154"/>
        <v>0</v>
      </c>
      <c r="AJ91" s="38">
        <f t="shared" si="155"/>
        <v>0</v>
      </c>
      <c r="AK91" s="38">
        <f t="shared" si="156"/>
        <v>0</v>
      </c>
      <c r="AL91" s="38">
        <f t="shared" si="157"/>
        <v>0</v>
      </c>
      <c r="AM91" s="38">
        <f t="shared" si="158"/>
        <v>0</v>
      </c>
      <c r="AN91" s="38">
        <f t="shared" si="159"/>
        <v>0</v>
      </c>
      <c r="AO91" s="38">
        <f t="shared" si="160"/>
        <v>0</v>
      </c>
      <c r="AP91" s="39">
        <f t="shared" si="161"/>
        <v>0</v>
      </c>
      <c r="AQ91" s="29"/>
      <c r="AR91" s="15" t="str">
        <f t="shared" si="162"/>
        <v/>
      </c>
      <c r="AS91" s="15" t="str">
        <f t="shared" si="163"/>
        <v/>
      </c>
      <c r="AT91" s="15" t="str">
        <f t="shared" si="164"/>
        <v/>
      </c>
      <c r="AU91" s="15" t="str">
        <f t="shared" si="165"/>
        <v/>
      </c>
      <c r="AV91" s="15" t="str">
        <f t="shared" si="166"/>
        <v/>
      </c>
      <c r="AW91" s="15" t="str">
        <f t="shared" si="167"/>
        <v/>
      </c>
      <c r="AX91" s="15" t="str">
        <f t="shared" si="168"/>
        <v/>
      </c>
      <c r="AY91" s="15" t="str">
        <f t="shared" si="169"/>
        <v/>
      </c>
      <c r="AZ91" s="15" t="str">
        <f t="shared" si="170"/>
        <v/>
      </c>
      <c r="BA91" s="15" t="str">
        <f t="shared" si="171"/>
        <v/>
      </c>
      <c r="BB91" s="15" t="str">
        <f t="shared" si="172"/>
        <v/>
      </c>
      <c r="BC91" s="15" t="str">
        <f t="shared" si="173"/>
        <v/>
      </c>
      <c r="BE91" s="14">
        <f t="shared" si="174"/>
        <v>0</v>
      </c>
      <c r="BF91" s="14">
        <f t="shared" si="175"/>
        <v>0</v>
      </c>
      <c r="BG91" s="14">
        <f t="shared" si="176"/>
        <v>0</v>
      </c>
      <c r="BH91" s="14">
        <f t="shared" si="177"/>
        <v>0</v>
      </c>
      <c r="BI91" s="14">
        <f t="shared" si="178"/>
        <v>0</v>
      </c>
      <c r="BJ91" s="14">
        <f t="shared" si="179"/>
        <v>0</v>
      </c>
      <c r="BK91" s="14">
        <f t="shared" si="180"/>
        <v>0</v>
      </c>
      <c r="BL91" s="14">
        <f t="shared" si="181"/>
        <v>0</v>
      </c>
      <c r="BM91" s="14">
        <f t="shared" si="182"/>
        <v>0</v>
      </c>
      <c r="BN91" s="14">
        <f t="shared" si="183"/>
        <v>0</v>
      </c>
      <c r="BO91" s="14">
        <f t="shared" si="184"/>
        <v>0</v>
      </c>
      <c r="BP91" s="14">
        <f t="shared" si="185"/>
        <v>0</v>
      </c>
      <c r="BQ91" s="37">
        <f t="shared" si="186"/>
        <v>0</v>
      </c>
    </row>
    <row r="92" spans="2:69">
      <c r="B92" s="12">
        <v>93</v>
      </c>
      <c r="C92" s="12"/>
      <c r="D92" s="11"/>
      <c r="E92" s="11"/>
      <c r="F92" s="11"/>
      <c r="G92" s="11"/>
      <c r="H92" s="11"/>
      <c r="I92" s="24"/>
      <c r="J92" s="24"/>
      <c r="K92" s="12"/>
      <c r="L92" s="12"/>
      <c r="M92" s="12"/>
      <c r="N92" s="12"/>
      <c r="O92" s="12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37">
        <f t="shared" si="148"/>
        <v>0</v>
      </c>
      <c r="AC92" s="29"/>
      <c r="AD92" s="38">
        <f t="shared" si="149"/>
        <v>0</v>
      </c>
      <c r="AE92" s="38">
        <f t="shared" si="150"/>
        <v>0</v>
      </c>
      <c r="AF92" s="38">
        <f t="shared" si="151"/>
        <v>0</v>
      </c>
      <c r="AG92" s="38">
        <f t="shared" si="152"/>
        <v>0</v>
      </c>
      <c r="AH92" s="38">
        <f t="shared" si="153"/>
        <v>0</v>
      </c>
      <c r="AI92" s="38">
        <f t="shared" si="154"/>
        <v>0</v>
      </c>
      <c r="AJ92" s="38">
        <f t="shared" si="155"/>
        <v>0</v>
      </c>
      <c r="AK92" s="38">
        <f t="shared" si="156"/>
        <v>0</v>
      </c>
      <c r="AL92" s="38">
        <f t="shared" si="157"/>
        <v>0</v>
      </c>
      <c r="AM92" s="38">
        <f t="shared" si="158"/>
        <v>0</v>
      </c>
      <c r="AN92" s="38">
        <f t="shared" si="159"/>
        <v>0</v>
      </c>
      <c r="AO92" s="38">
        <f t="shared" si="160"/>
        <v>0</v>
      </c>
      <c r="AP92" s="39">
        <f t="shared" si="161"/>
        <v>0</v>
      </c>
      <c r="AQ92" s="29"/>
      <c r="AR92" s="15" t="str">
        <f t="shared" si="162"/>
        <v/>
      </c>
      <c r="AS92" s="15" t="str">
        <f t="shared" si="163"/>
        <v/>
      </c>
      <c r="AT92" s="15" t="str">
        <f t="shared" si="164"/>
        <v/>
      </c>
      <c r="AU92" s="15" t="str">
        <f t="shared" si="165"/>
        <v/>
      </c>
      <c r="AV92" s="15" t="str">
        <f t="shared" si="166"/>
        <v/>
      </c>
      <c r="AW92" s="15" t="str">
        <f t="shared" si="167"/>
        <v/>
      </c>
      <c r="AX92" s="15" t="str">
        <f t="shared" si="168"/>
        <v/>
      </c>
      <c r="AY92" s="15" t="str">
        <f t="shared" si="169"/>
        <v/>
      </c>
      <c r="AZ92" s="15" t="str">
        <f t="shared" si="170"/>
        <v/>
      </c>
      <c r="BA92" s="15" t="str">
        <f t="shared" si="171"/>
        <v/>
      </c>
      <c r="BB92" s="15" t="str">
        <f t="shared" si="172"/>
        <v/>
      </c>
      <c r="BC92" s="15" t="str">
        <f t="shared" si="173"/>
        <v/>
      </c>
      <c r="BE92" s="14">
        <f t="shared" si="174"/>
        <v>0</v>
      </c>
      <c r="BF92" s="14">
        <f t="shared" si="175"/>
        <v>0</v>
      </c>
      <c r="BG92" s="14">
        <f t="shared" si="176"/>
        <v>0</v>
      </c>
      <c r="BH92" s="14">
        <f t="shared" si="177"/>
        <v>0</v>
      </c>
      <c r="BI92" s="14">
        <f t="shared" si="178"/>
        <v>0</v>
      </c>
      <c r="BJ92" s="14">
        <f t="shared" si="179"/>
        <v>0</v>
      </c>
      <c r="BK92" s="14">
        <f t="shared" si="180"/>
        <v>0</v>
      </c>
      <c r="BL92" s="14">
        <f t="shared" si="181"/>
        <v>0</v>
      </c>
      <c r="BM92" s="14">
        <f t="shared" si="182"/>
        <v>0</v>
      </c>
      <c r="BN92" s="14">
        <f t="shared" si="183"/>
        <v>0</v>
      </c>
      <c r="BO92" s="14">
        <f t="shared" si="184"/>
        <v>0</v>
      </c>
      <c r="BP92" s="14">
        <f t="shared" si="185"/>
        <v>0</v>
      </c>
      <c r="BQ92" s="37">
        <f t="shared" si="186"/>
        <v>0</v>
      </c>
    </row>
    <row r="93" spans="2:69">
      <c r="B93" s="12">
        <v>94</v>
      </c>
      <c r="C93" s="12"/>
      <c r="D93" s="11"/>
      <c r="E93" s="11"/>
      <c r="F93" s="11"/>
      <c r="G93" s="11"/>
      <c r="H93" s="11"/>
      <c r="I93" s="24"/>
      <c r="J93" s="24"/>
      <c r="K93" s="12"/>
      <c r="L93" s="12"/>
      <c r="M93" s="12"/>
      <c r="N93" s="12"/>
      <c r="O93" s="12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37">
        <f t="shared" si="148"/>
        <v>0</v>
      </c>
      <c r="AC93" s="29"/>
      <c r="AD93" s="38">
        <f t="shared" si="149"/>
        <v>0</v>
      </c>
      <c r="AE93" s="38">
        <f t="shared" si="150"/>
        <v>0</v>
      </c>
      <c r="AF93" s="38">
        <f t="shared" si="151"/>
        <v>0</v>
      </c>
      <c r="AG93" s="38">
        <f t="shared" si="152"/>
        <v>0</v>
      </c>
      <c r="AH93" s="38">
        <f t="shared" si="153"/>
        <v>0</v>
      </c>
      <c r="AI93" s="38">
        <f t="shared" si="154"/>
        <v>0</v>
      </c>
      <c r="AJ93" s="38">
        <f t="shared" si="155"/>
        <v>0</v>
      </c>
      <c r="AK93" s="38">
        <f t="shared" si="156"/>
        <v>0</v>
      </c>
      <c r="AL93" s="38">
        <f t="shared" si="157"/>
        <v>0</v>
      </c>
      <c r="AM93" s="38">
        <f t="shared" si="158"/>
        <v>0</v>
      </c>
      <c r="AN93" s="38">
        <f t="shared" si="159"/>
        <v>0</v>
      </c>
      <c r="AO93" s="38">
        <f t="shared" si="160"/>
        <v>0</v>
      </c>
      <c r="AP93" s="39">
        <f t="shared" si="161"/>
        <v>0</v>
      </c>
      <c r="AQ93" s="29"/>
      <c r="AR93" s="15" t="str">
        <f t="shared" si="162"/>
        <v/>
      </c>
      <c r="AS93" s="15" t="str">
        <f t="shared" si="163"/>
        <v/>
      </c>
      <c r="AT93" s="15" t="str">
        <f t="shared" si="164"/>
        <v/>
      </c>
      <c r="AU93" s="15" t="str">
        <f t="shared" si="165"/>
        <v/>
      </c>
      <c r="AV93" s="15" t="str">
        <f t="shared" si="166"/>
        <v/>
      </c>
      <c r="AW93" s="15" t="str">
        <f t="shared" si="167"/>
        <v/>
      </c>
      <c r="AX93" s="15" t="str">
        <f t="shared" si="168"/>
        <v/>
      </c>
      <c r="AY93" s="15" t="str">
        <f t="shared" si="169"/>
        <v/>
      </c>
      <c r="AZ93" s="15" t="str">
        <f t="shared" si="170"/>
        <v/>
      </c>
      <c r="BA93" s="15" t="str">
        <f t="shared" si="171"/>
        <v/>
      </c>
      <c r="BB93" s="15" t="str">
        <f t="shared" si="172"/>
        <v/>
      </c>
      <c r="BC93" s="15" t="str">
        <f t="shared" si="173"/>
        <v/>
      </c>
      <c r="BE93" s="14">
        <f t="shared" si="174"/>
        <v>0</v>
      </c>
      <c r="BF93" s="14">
        <f t="shared" si="175"/>
        <v>0</v>
      </c>
      <c r="BG93" s="14">
        <f t="shared" si="176"/>
        <v>0</v>
      </c>
      <c r="BH93" s="14">
        <f t="shared" si="177"/>
        <v>0</v>
      </c>
      <c r="BI93" s="14">
        <f t="shared" si="178"/>
        <v>0</v>
      </c>
      <c r="BJ93" s="14">
        <f t="shared" si="179"/>
        <v>0</v>
      </c>
      <c r="BK93" s="14">
        <f t="shared" si="180"/>
        <v>0</v>
      </c>
      <c r="BL93" s="14">
        <f t="shared" si="181"/>
        <v>0</v>
      </c>
      <c r="BM93" s="14">
        <f t="shared" si="182"/>
        <v>0</v>
      </c>
      <c r="BN93" s="14">
        <f t="shared" si="183"/>
        <v>0</v>
      </c>
      <c r="BO93" s="14">
        <f t="shared" si="184"/>
        <v>0</v>
      </c>
      <c r="BP93" s="14">
        <f t="shared" si="185"/>
        <v>0</v>
      </c>
      <c r="BQ93" s="37">
        <f t="shared" si="186"/>
        <v>0</v>
      </c>
    </row>
    <row r="94" spans="2:69">
      <c r="B94" s="12">
        <v>95</v>
      </c>
      <c r="C94" s="12"/>
      <c r="D94" s="11"/>
      <c r="E94" s="11"/>
      <c r="F94" s="11"/>
      <c r="G94" s="11"/>
      <c r="H94" s="11"/>
      <c r="I94" s="24"/>
      <c r="J94" s="24"/>
      <c r="K94" s="12"/>
      <c r="L94" s="12"/>
      <c r="M94" s="12"/>
      <c r="N94" s="12"/>
      <c r="O94" s="12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37">
        <f t="shared" si="148"/>
        <v>0</v>
      </c>
      <c r="AC94" s="29"/>
      <c r="AD94" s="38">
        <f t="shared" ref="AD94:AD100" si="187">P94*$J94</f>
        <v>0</v>
      </c>
      <c r="AE94" s="38">
        <f t="shared" ref="AE94:AE100" si="188">Q94*$J94</f>
        <v>0</v>
      </c>
      <c r="AF94" s="38">
        <f t="shared" ref="AF94:AF100" si="189">R94*$J94</f>
        <v>0</v>
      </c>
      <c r="AG94" s="38">
        <f t="shared" ref="AG94:AG100" si="190">S94*$J94</f>
        <v>0</v>
      </c>
      <c r="AH94" s="38">
        <f t="shared" ref="AH94:AH100" si="191">T94*$J94</f>
        <v>0</v>
      </c>
      <c r="AI94" s="38">
        <f t="shared" ref="AI94:AI100" si="192">U94*$J94</f>
        <v>0</v>
      </c>
      <c r="AJ94" s="38">
        <f t="shared" ref="AJ94:AJ100" si="193">V94*$J94</f>
        <v>0</v>
      </c>
      <c r="AK94" s="38">
        <f t="shared" ref="AK94:AK100" si="194">W94*$J94</f>
        <v>0</v>
      </c>
      <c r="AL94" s="38">
        <f t="shared" ref="AL94:AL100" si="195">X94*$J94</f>
        <v>0</v>
      </c>
      <c r="AM94" s="38">
        <f t="shared" ref="AM94:AM100" si="196">Y94*$J94</f>
        <v>0</v>
      </c>
      <c r="AN94" s="38">
        <f t="shared" ref="AN94:AN100" si="197">Z94*$J94</f>
        <v>0</v>
      </c>
      <c r="AO94" s="38">
        <f t="shared" ref="AO94:AO100" si="198">AA94*$J94</f>
        <v>0</v>
      </c>
      <c r="AP94" s="39">
        <f t="shared" ref="AP94:AP100" si="199">SUM(AD94:AO94)</f>
        <v>0</v>
      </c>
      <c r="AQ94" s="29"/>
      <c r="AR94" s="15" t="str">
        <f t="shared" ref="AR94:AR100" si="200">IFERROR((P94-AD94)/P94,"")</f>
        <v/>
      </c>
      <c r="AS94" s="15" t="str">
        <f t="shared" ref="AS94:AS100" si="201">IFERROR((Q94-AE94)/Q94,"")</f>
        <v/>
      </c>
      <c r="AT94" s="15" t="str">
        <f t="shared" ref="AT94:AT100" si="202">IFERROR((R94-AF94)/R94,"")</f>
        <v/>
      </c>
      <c r="AU94" s="15" t="str">
        <f t="shared" ref="AU94:AU100" si="203">IFERROR((S94-AG94)/S94,"")</f>
        <v/>
      </c>
      <c r="AV94" s="15" t="str">
        <f t="shared" ref="AV94:AV100" si="204">IFERROR((T94-AH94)/T94,"")</f>
        <v/>
      </c>
      <c r="AW94" s="15" t="str">
        <f t="shared" ref="AW94:AW100" si="205">IFERROR((U94-AI94)/U94,"")</f>
        <v/>
      </c>
      <c r="AX94" s="15" t="str">
        <f t="shared" ref="AX94:AX100" si="206">IFERROR((V94-AJ94)/V94,"")</f>
        <v/>
      </c>
      <c r="AY94" s="15" t="str">
        <f t="shared" ref="AY94:AY100" si="207">IFERROR((W94-AK94)/W94,"")</f>
        <v/>
      </c>
      <c r="AZ94" s="15" t="str">
        <f t="shared" ref="AZ94:AZ100" si="208">IFERROR((X94-AL94)/X94,"")</f>
        <v/>
      </c>
      <c r="BA94" s="15" t="str">
        <f t="shared" ref="BA94:BA100" si="209">IFERROR((Y94-AM94)/Y94,"")</f>
        <v/>
      </c>
      <c r="BB94" s="15" t="str">
        <f t="shared" ref="BB94:BB100" si="210">IFERROR((Z94-AN94)/Z94,"")</f>
        <v/>
      </c>
      <c r="BC94" s="15" t="str">
        <f t="shared" ref="BC94:BC100" si="211">IFERROR((AA94-AO94)/AA94,"")</f>
        <v/>
      </c>
      <c r="BE94" s="14">
        <f t="shared" ref="BE94:BE100" si="212">$I94*P94</f>
        <v>0</v>
      </c>
      <c r="BF94" s="14">
        <f t="shared" ref="BF94:BF100" si="213">$I94*Q94</f>
        <v>0</v>
      </c>
      <c r="BG94" s="14">
        <f t="shared" ref="BG94:BG100" si="214">$I94*R94</f>
        <v>0</v>
      </c>
      <c r="BH94" s="14">
        <f t="shared" ref="BH94:BH100" si="215">$I94*S94</f>
        <v>0</v>
      </c>
      <c r="BI94" s="14">
        <f t="shared" ref="BI94:BI100" si="216">$I94*T94</f>
        <v>0</v>
      </c>
      <c r="BJ94" s="14">
        <f t="shared" ref="BJ94:BJ100" si="217">$I94*U94</f>
        <v>0</v>
      </c>
      <c r="BK94" s="14">
        <f t="shared" ref="BK94:BK100" si="218">$I94*V94</f>
        <v>0</v>
      </c>
      <c r="BL94" s="14">
        <f t="shared" ref="BL94:BL100" si="219">$I94*W94</f>
        <v>0</v>
      </c>
      <c r="BM94" s="14">
        <f t="shared" ref="BM94:BM100" si="220">$I94*X94</f>
        <v>0</v>
      </c>
      <c r="BN94" s="14">
        <f t="shared" ref="BN94:BN100" si="221">$I94*Y94</f>
        <v>0</v>
      </c>
      <c r="BO94" s="14">
        <f t="shared" ref="BO94:BO100" si="222">$I94*Z94</f>
        <v>0</v>
      </c>
      <c r="BP94" s="14">
        <f t="shared" ref="BP94:BP100" si="223">$I94*AA94</f>
        <v>0</v>
      </c>
      <c r="BQ94" s="37">
        <f t="shared" ref="BQ94:BQ100" si="224">SUM(BE94:BP94)</f>
        <v>0</v>
      </c>
    </row>
    <row r="95" spans="2:69">
      <c r="B95" s="12">
        <v>96</v>
      </c>
      <c r="C95" s="12"/>
      <c r="D95" s="11"/>
      <c r="E95" s="11"/>
      <c r="F95" s="11"/>
      <c r="G95" s="11"/>
      <c r="H95" s="11"/>
      <c r="I95" s="24"/>
      <c r="J95" s="24"/>
      <c r="K95" s="12"/>
      <c r="L95" s="12"/>
      <c r="M95" s="12"/>
      <c r="N95" s="12"/>
      <c r="O95" s="12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37">
        <f t="shared" si="148"/>
        <v>0</v>
      </c>
      <c r="AC95" s="29"/>
      <c r="AD95" s="38">
        <f t="shared" si="187"/>
        <v>0</v>
      </c>
      <c r="AE95" s="38">
        <f t="shared" si="188"/>
        <v>0</v>
      </c>
      <c r="AF95" s="38">
        <f t="shared" si="189"/>
        <v>0</v>
      </c>
      <c r="AG95" s="38">
        <f t="shared" si="190"/>
        <v>0</v>
      </c>
      <c r="AH95" s="38">
        <f t="shared" si="191"/>
        <v>0</v>
      </c>
      <c r="AI95" s="38">
        <f t="shared" si="192"/>
        <v>0</v>
      </c>
      <c r="AJ95" s="38">
        <f t="shared" si="193"/>
        <v>0</v>
      </c>
      <c r="AK95" s="38">
        <f t="shared" si="194"/>
        <v>0</v>
      </c>
      <c r="AL95" s="38">
        <f t="shared" si="195"/>
        <v>0</v>
      </c>
      <c r="AM95" s="38">
        <f t="shared" si="196"/>
        <v>0</v>
      </c>
      <c r="AN95" s="38">
        <f t="shared" si="197"/>
        <v>0</v>
      </c>
      <c r="AO95" s="38">
        <f t="shared" si="198"/>
        <v>0</v>
      </c>
      <c r="AP95" s="39">
        <f t="shared" si="199"/>
        <v>0</v>
      </c>
      <c r="AQ95" s="29"/>
      <c r="AR95" s="15" t="str">
        <f t="shared" si="200"/>
        <v/>
      </c>
      <c r="AS95" s="15" t="str">
        <f t="shared" si="201"/>
        <v/>
      </c>
      <c r="AT95" s="15" t="str">
        <f t="shared" si="202"/>
        <v/>
      </c>
      <c r="AU95" s="15" t="str">
        <f t="shared" si="203"/>
        <v/>
      </c>
      <c r="AV95" s="15" t="str">
        <f t="shared" si="204"/>
        <v/>
      </c>
      <c r="AW95" s="15" t="str">
        <f t="shared" si="205"/>
        <v/>
      </c>
      <c r="AX95" s="15" t="str">
        <f t="shared" si="206"/>
        <v/>
      </c>
      <c r="AY95" s="15" t="str">
        <f t="shared" si="207"/>
        <v/>
      </c>
      <c r="AZ95" s="15" t="str">
        <f t="shared" si="208"/>
        <v/>
      </c>
      <c r="BA95" s="15" t="str">
        <f t="shared" si="209"/>
        <v/>
      </c>
      <c r="BB95" s="15" t="str">
        <f t="shared" si="210"/>
        <v/>
      </c>
      <c r="BC95" s="15" t="str">
        <f t="shared" si="211"/>
        <v/>
      </c>
      <c r="BE95" s="14">
        <f t="shared" si="212"/>
        <v>0</v>
      </c>
      <c r="BF95" s="14">
        <f t="shared" si="213"/>
        <v>0</v>
      </c>
      <c r="BG95" s="14">
        <f t="shared" si="214"/>
        <v>0</v>
      </c>
      <c r="BH95" s="14">
        <f t="shared" si="215"/>
        <v>0</v>
      </c>
      <c r="BI95" s="14">
        <f t="shared" si="216"/>
        <v>0</v>
      </c>
      <c r="BJ95" s="14">
        <f t="shared" si="217"/>
        <v>0</v>
      </c>
      <c r="BK95" s="14">
        <f t="shared" si="218"/>
        <v>0</v>
      </c>
      <c r="BL95" s="14">
        <f t="shared" si="219"/>
        <v>0</v>
      </c>
      <c r="BM95" s="14">
        <f t="shared" si="220"/>
        <v>0</v>
      </c>
      <c r="BN95" s="14">
        <f t="shared" si="221"/>
        <v>0</v>
      </c>
      <c r="BO95" s="14">
        <f t="shared" si="222"/>
        <v>0</v>
      </c>
      <c r="BP95" s="14">
        <f t="shared" si="223"/>
        <v>0</v>
      </c>
      <c r="BQ95" s="37">
        <f t="shared" si="224"/>
        <v>0</v>
      </c>
    </row>
    <row r="96" spans="2:69">
      <c r="B96" s="12">
        <v>97</v>
      </c>
      <c r="C96" s="12"/>
      <c r="D96" s="11"/>
      <c r="E96" s="11"/>
      <c r="F96" s="11"/>
      <c r="G96" s="11"/>
      <c r="H96" s="11"/>
      <c r="I96" s="24"/>
      <c r="J96" s="24"/>
      <c r="K96" s="12"/>
      <c r="L96" s="12"/>
      <c r="M96" s="12"/>
      <c r="N96" s="12"/>
      <c r="O96" s="12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37">
        <f t="shared" si="148"/>
        <v>0</v>
      </c>
      <c r="AC96" s="29"/>
      <c r="AD96" s="38">
        <f t="shared" si="187"/>
        <v>0</v>
      </c>
      <c r="AE96" s="38">
        <f t="shared" si="188"/>
        <v>0</v>
      </c>
      <c r="AF96" s="38">
        <f t="shared" si="189"/>
        <v>0</v>
      </c>
      <c r="AG96" s="38">
        <f t="shared" si="190"/>
        <v>0</v>
      </c>
      <c r="AH96" s="38">
        <f t="shared" si="191"/>
        <v>0</v>
      </c>
      <c r="AI96" s="38">
        <f t="shared" si="192"/>
        <v>0</v>
      </c>
      <c r="AJ96" s="38">
        <f t="shared" si="193"/>
        <v>0</v>
      </c>
      <c r="AK96" s="38">
        <f t="shared" si="194"/>
        <v>0</v>
      </c>
      <c r="AL96" s="38">
        <f t="shared" si="195"/>
        <v>0</v>
      </c>
      <c r="AM96" s="38">
        <f t="shared" si="196"/>
        <v>0</v>
      </c>
      <c r="AN96" s="38">
        <f t="shared" si="197"/>
        <v>0</v>
      </c>
      <c r="AO96" s="38">
        <f t="shared" si="198"/>
        <v>0</v>
      </c>
      <c r="AP96" s="39">
        <f t="shared" si="199"/>
        <v>0</v>
      </c>
      <c r="AQ96" s="29"/>
      <c r="AR96" s="15" t="str">
        <f t="shared" si="200"/>
        <v/>
      </c>
      <c r="AS96" s="15" t="str">
        <f t="shared" si="201"/>
        <v/>
      </c>
      <c r="AT96" s="15" t="str">
        <f t="shared" si="202"/>
        <v/>
      </c>
      <c r="AU96" s="15" t="str">
        <f t="shared" si="203"/>
        <v/>
      </c>
      <c r="AV96" s="15" t="str">
        <f t="shared" si="204"/>
        <v/>
      </c>
      <c r="AW96" s="15" t="str">
        <f t="shared" si="205"/>
        <v/>
      </c>
      <c r="AX96" s="15" t="str">
        <f t="shared" si="206"/>
        <v/>
      </c>
      <c r="AY96" s="15" t="str">
        <f t="shared" si="207"/>
        <v/>
      </c>
      <c r="AZ96" s="15" t="str">
        <f t="shared" si="208"/>
        <v/>
      </c>
      <c r="BA96" s="15" t="str">
        <f t="shared" si="209"/>
        <v/>
      </c>
      <c r="BB96" s="15" t="str">
        <f t="shared" si="210"/>
        <v/>
      </c>
      <c r="BC96" s="15" t="str">
        <f t="shared" si="211"/>
        <v/>
      </c>
      <c r="BE96" s="14">
        <f t="shared" si="212"/>
        <v>0</v>
      </c>
      <c r="BF96" s="14">
        <f t="shared" si="213"/>
        <v>0</v>
      </c>
      <c r="BG96" s="14">
        <f t="shared" si="214"/>
        <v>0</v>
      </c>
      <c r="BH96" s="14">
        <f t="shared" si="215"/>
        <v>0</v>
      </c>
      <c r="BI96" s="14">
        <f t="shared" si="216"/>
        <v>0</v>
      </c>
      <c r="BJ96" s="14">
        <f t="shared" si="217"/>
        <v>0</v>
      </c>
      <c r="BK96" s="14">
        <f t="shared" si="218"/>
        <v>0</v>
      </c>
      <c r="BL96" s="14">
        <f t="shared" si="219"/>
        <v>0</v>
      </c>
      <c r="BM96" s="14">
        <f t="shared" si="220"/>
        <v>0</v>
      </c>
      <c r="BN96" s="14">
        <f t="shared" si="221"/>
        <v>0</v>
      </c>
      <c r="BO96" s="14">
        <f t="shared" si="222"/>
        <v>0</v>
      </c>
      <c r="BP96" s="14">
        <f t="shared" si="223"/>
        <v>0</v>
      </c>
      <c r="BQ96" s="37">
        <f t="shared" si="224"/>
        <v>0</v>
      </c>
    </row>
    <row r="97" spans="2:69">
      <c r="B97" s="12">
        <v>98</v>
      </c>
      <c r="C97" s="12"/>
      <c r="D97" s="11"/>
      <c r="E97" s="11"/>
      <c r="F97" s="11"/>
      <c r="G97" s="11"/>
      <c r="H97" s="11"/>
      <c r="I97" s="24"/>
      <c r="J97" s="24"/>
      <c r="K97" s="12"/>
      <c r="L97" s="12"/>
      <c r="M97" s="12"/>
      <c r="N97" s="12"/>
      <c r="O97" s="12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37">
        <f t="shared" si="148"/>
        <v>0</v>
      </c>
      <c r="AC97" s="29"/>
      <c r="AD97" s="38">
        <f t="shared" si="187"/>
        <v>0</v>
      </c>
      <c r="AE97" s="38">
        <f t="shared" si="188"/>
        <v>0</v>
      </c>
      <c r="AF97" s="38">
        <f t="shared" si="189"/>
        <v>0</v>
      </c>
      <c r="AG97" s="38">
        <f t="shared" si="190"/>
        <v>0</v>
      </c>
      <c r="AH97" s="38">
        <f t="shared" si="191"/>
        <v>0</v>
      </c>
      <c r="AI97" s="38">
        <f t="shared" si="192"/>
        <v>0</v>
      </c>
      <c r="AJ97" s="38">
        <f t="shared" si="193"/>
        <v>0</v>
      </c>
      <c r="AK97" s="38">
        <f t="shared" si="194"/>
        <v>0</v>
      </c>
      <c r="AL97" s="38">
        <f t="shared" si="195"/>
        <v>0</v>
      </c>
      <c r="AM97" s="38">
        <f t="shared" si="196"/>
        <v>0</v>
      </c>
      <c r="AN97" s="38">
        <f t="shared" si="197"/>
        <v>0</v>
      </c>
      <c r="AO97" s="38">
        <f t="shared" si="198"/>
        <v>0</v>
      </c>
      <c r="AP97" s="39">
        <f t="shared" si="199"/>
        <v>0</v>
      </c>
      <c r="AQ97" s="29"/>
      <c r="AR97" s="15" t="str">
        <f t="shared" si="200"/>
        <v/>
      </c>
      <c r="AS97" s="15" t="str">
        <f t="shared" si="201"/>
        <v/>
      </c>
      <c r="AT97" s="15" t="str">
        <f t="shared" si="202"/>
        <v/>
      </c>
      <c r="AU97" s="15" t="str">
        <f t="shared" si="203"/>
        <v/>
      </c>
      <c r="AV97" s="15" t="str">
        <f t="shared" si="204"/>
        <v/>
      </c>
      <c r="AW97" s="15" t="str">
        <f t="shared" si="205"/>
        <v/>
      </c>
      <c r="AX97" s="15" t="str">
        <f t="shared" si="206"/>
        <v/>
      </c>
      <c r="AY97" s="15" t="str">
        <f t="shared" si="207"/>
        <v/>
      </c>
      <c r="AZ97" s="15" t="str">
        <f t="shared" si="208"/>
        <v/>
      </c>
      <c r="BA97" s="15" t="str">
        <f t="shared" si="209"/>
        <v/>
      </c>
      <c r="BB97" s="15" t="str">
        <f t="shared" si="210"/>
        <v/>
      </c>
      <c r="BC97" s="15" t="str">
        <f t="shared" si="211"/>
        <v/>
      </c>
      <c r="BE97" s="14">
        <f t="shared" si="212"/>
        <v>0</v>
      </c>
      <c r="BF97" s="14">
        <f t="shared" si="213"/>
        <v>0</v>
      </c>
      <c r="BG97" s="14">
        <f t="shared" si="214"/>
        <v>0</v>
      </c>
      <c r="BH97" s="14">
        <f t="shared" si="215"/>
        <v>0</v>
      </c>
      <c r="BI97" s="14">
        <f t="shared" si="216"/>
        <v>0</v>
      </c>
      <c r="BJ97" s="14">
        <f t="shared" si="217"/>
        <v>0</v>
      </c>
      <c r="BK97" s="14">
        <f t="shared" si="218"/>
        <v>0</v>
      </c>
      <c r="BL97" s="14">
        <f t="shared" si="219"/>
        <v>0</v>
      </c>
      <c r="BM97" s="14">
        <f t="shared" si="220"/>
        <v>0</v>
      </c>
      <c r="BN97" s="14">
        <f t="shared" si="221"/>
        <v>0</v>
      </c>
      <c r="BO97" s="14">
        <f t="shared" si="222"/>
        <v>0</v>
      </c>
      <c r="BP97" s="14">
        <f t="shared" si="223"/>
        <v>0</v>
      </c>
      <c r="BQ97" s="37">
        <f t="shared" si="224"/>
        <v>0</v>
      </c>
    </row>
    <row r="98" spans="2:69">
      <c r="B98" s="12">
        <v>99</v>
      </c>
      <c r="C98" s="12"/>
      <c r="D98" s="11"/>
      <c r="E98" s="11"/>
      <c r="F98" s="11"/>
      <c r="G98" s="11"/>
      <c r="H98" s="11"/>
      <c r="I98" s="24"/>
      <c r="J98" s="24"/>
      <c r="K98" s="12"/>
      <c r="L98" s="12"/>
      <c r="M98" s="12"/>
      <c r="N98" s="12"/>
      <c r="O98" s="12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37">
        <f t="shared" si="148"/>
        <v>0</v>
      </c>
      <c r="AC98" s="29"/>
      <c r="AD98" s="38">
        <f t="shared" si="187"/>
        <v>0</v>
      </c>
      <c r="AE98" s="38">
        <f t="shared" si="188"/>
        <v>0</v>
      </c>
      <c r="AF98" s="38">
        <f t="shared" si="189"/>
        <v>0</v>
      </c>
      <c r="AG98" s="38">
        <f t="shared" si="190"/>
        <v>0</v>
      </c>
      <c r="AH98" s="38">
        <f t="shared" si="191"/>
        <v>0</v>
      </c>
      <c r="AI98" s="38">
        <f t="shared" si="192"/>
        <v>0</v>
      </c>
      <c r="AJ98" s="38">
        <f t="shared" si="193"/>
        <v>0</v>
      </c>
      <c r="AK98" s="38">
        <f t="shared" si="194"/>
        <v>0</v>
      </c>
      <c r="AL98" s="38">
        <f t="shared" si="195"/>
        <v>0</v>
      </c>
      <c r="AM98" s="38">
        <f t="shared" si="196"/>
        <v>0</v>
      </c>
      <c r="AN98" s="38">
        <f t="shared" si="197"/>
        <v>0</v>
      </c>
      <c r="AO98" s="38">
        <f t="shared" si="198"/>
        <v>0</v>
      </c>
      <c r="AP98" s="39">
        <f t="shared" si="199"/>
        <v>0</v>
      </c>
      <c r="AQ98" s="29"/>
      <c r="AR98" s="15" t="str">
        <f t="shared" si="200"/>
        <v/>
      </c>
      <c r="AS98" s="15" t="str">
        <f t="shared" si="201"/>
        <v/>
      </c>
      <c r="AT98" s="15" t="str">
        <f t="shared" si="202"/>
        <v/>
      </c>
      <c r="AU98" s="15" t="str">
        <f t="shared" si="203"/>
        <v/>
      </c>
      <c r="AV98" s="15" t="str">
        <f t="shared" si="204"/>
        <v/>
      </c>
      <c r="AW98" s="15" t="str">
        <f t="shared" si="205"/>
        <v/>
      </c>
      <c r="AX98" s="15" t="str">
        <f t="shared" si="206"/>
        <v/>
      </c>
      <c r="AY98" s="15" t="str">
        <f t="shared" si="207"/>
        <v/>
      </c>
      <c r="AZ98" s="15" t="str">
        <f t="shared" si="208"/>
        <v/>
      </c>
      <c r="BA98" s="15" t="str">
        <f t="shared" si="209"/>
        <v/>
      </c>
      <c r="BB98" s="15" t="str">
        <f t="shared" si="210"/>
        <v/>
      </c>
      <c r="BC98" s="15" t="str">
        <f t="shared" si="211"/>
        <v/>
      </c>
      <c r="BE98" s="14">
        <f t="shared" si="212"/>
        <v>0</v>
      </c>
      <c r="BF98" s="14">
        <f t="shared" si="213"/>
        <v>0</v>
      </c>
      <c r="BG98" s="14">
        <f t="shared" si="214"/>
        <v>0</v>
      </c>
      <c r="BH98" s="14">
        <f t="shared" si="215"/>
        <v>0</v>
      </c>
      <c r="BI98" s="14">
        <f t="shared" si="216"/>
        <v>0</v>
      </c>
      <c r="BJ98" s="14">
        <f t="shared" si="217"/>
        <v>0</v>
      </c>
      <c r="BK98" s="14">
        <f t="shared" si="218"/>
        <v>0</v>
      </c>
      <c r="BL98" s="14">
        <f t="shared" si="219"/>
        <v>0</v>
      </c>
      <c r="BM98" s="14">
        <f t="shared" si="220"/>
        <v>0</v>
      </c>
      <c r="BN98" s="14">
        <f t="shared" si="221"/>
        <v>0</v>
      </c>
      <c r="BO98" s="14">
        <f t="shared" si="222"/>
        <v>0</v>
      </c>
      <c r="BP98" s="14">
        <f t="shared" si="223"/>
        <v>0</v>
      </c>
      <c r="BQ98" s="37">
        <f t="shared" si="224"/>
        <v>0</v>
      </c>
    </row>
    <row r="99" spans="2:69">
      <c r="B99" s="12">
        <v>100</v>
      </c>
      <c r="C99" s="12"/>
      <c r="D99" s="11"/>
      <c r="E99" s="11"/>
      <c r="F99" s="11"/>
      <c r="G99" s="11"/>
      <c r="H99" s="11"/>
      <c r="I99" s="24"/>
      <c r="J99" s="24"/>
      <c r="K99" s="12"/>
      <c r="L99" s="12"/>
      <c r="M99" s="12"/>
      <c r="N99" s="12"/>
      <c r="O99" s="12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37">
        <f t="shared" si="148"/>
        <v>0</v>
      </c>
      <c r="AC99" s="29"/>
      <c r="AD99" s="38">
        <f t="shared" si="187"/>
        <v>0</v>
      </c>
      <c r="AE99" s="38">
        <f t="shared" si="188"/>
        <v>0</v>
      </c>
      <c r="AF99" s="38">
        <f t="shared" si="189"/>
        <v>0</v>
      </c>
      <c r="AG99" s="38">
        <f t="shared" si="190"/>
        <v>0</v>
      </c>
      <c r="AH99" s="38">
        <f t="shared" si="191"/>
        <v>0</v>
      </c>
      <c r="AI99" s="38">
        <f t="shared" si="192"/>
        <v>0</v>
      </c>
      <c r="AJ99" s="38">
        <f t="shared" si="193"/>
        <v>0</v>
      </c>
      <c r="AK99" s="38">
        <f t="shared" si="194"/>
        <v>0</v>
      </c>
      <c r="AL99" s="38">
        <f t="shared" si="195"/>
        <v>0</v>
      </c>
      <c r="AM99" s="38">
        <f t="shared" si="196"/>
        <v>0</v>
      </c>
      <c r="AN99" s="38">
        <f t="shared" si="197"/>
        <v>0</v>
      </c>
      <c r="AO99" s="38">
        <f t="shared" si="198"/>
        <v>0</v>
      </c>
      <c r="AP99" s="39">
        <f t="shared" si="199"/>
        <v>0</v>
      </c>
      <c r="AQ99" s="29"/>
      <c r="AR99" s="15" t="str">
        <f t="shared" si="200"/>
        <v/>
      </c>
      <c r="AS99" s="15" t="str">
        <f t="shared" si="201"/>
        <v/>
      </c>
      <c r="AT99" s="15" t="str">
        <f t="shared" si="202"/>
        <v/>
      </c>
      <c r="AU99" s="15" t="str">
        <f t="shared" si="203"/>
        <v/>
      </c>
      <c r="AV99" s="15" t="str">
        <f t="shared" si="204"/>
        <v/>
      </c>
      <c r="AW99" s="15" t="str">
        <f t="shared" si="205"/>
        <v/>
      </c>
      <c r="AX99" s="15" t="str">
        <f t="shared" si="206"/>
        <v/>
      </c>
      <c r="AY99" s="15" t="str">
        <f t="shared" si="207"/>
        <v/>
      </c>
      <c r="AZ99" s="15" t="str">
        <f t="shared" si="208"/>
        <v/>
      </c>
      <c r="BA99" s="15" t="str">
        <f t="shared" si="209"/>
        <v/>
      </c>
      <c r="BB99" s="15" t="str">
        <f t="shared" si="210"/>
        <v/>
      </c>
      <c r="BC99" s="15" t="str">
        <f t="shared" si="211"/>
        <v/>
      </c>
      <c r="BE99" s="14">
        <f t="shared" si="212"/>
        <v>0</v>
      </c>
      <c r="BF99" s="14">
        <f t="shared" si="213"/>
        <v>0</v>
      </c>
      <c r="BG99" s="14">
        <f t="shared" si="214"/>
        <v>0</v>
      </c>
      <c r="BH99" s="14">
        <f t="shared" si="215"/>
        <v>0</v>
      </c>
      <c r="BI99" s="14">
        <f t="shared" si="216"/>
        <v>0</v>
      </c>
      <c r="BJ99" s="14">
        <f t="shared" si="217"/>
        <v>0</v>
      </c>
      <c r="BK99" s="14">
        <f t="shared" si="218"/>
        <v>0</v>
      </c>
      <c r="BL99" s="14">
        <f t="shared" si="219"/>
        <v>0</v>
      </c>
      <c r="BM99" s="14">
        <f t="shared" si="220"/>
        <v>0</v>
      </c>
      <c r="BN99" s="14">
        <f t="shared" si="221"/>
        <v>0</v>
      </c>
      <c r="BO99" s="14">
        <f t="shared" si="222"/>
        <v>0</v>
      </c>
      <c r="BP99" s="14">
        <f t="shared" si="223"/>
        <v>0</v>
      </c>
      <c r="BQ99" s="37">
        <f t="shared" si="224"/>
        <v>0</v>
      </c>
    </row>
    <row r="100" spans="2:69">
      <c r="B100" s="12">
        <v>101</v>
      </c>
      <c r="C100" s="12"/>
      <c r="D100" s="11"/>
      <c r="E100" s="11"/>
      <c r="F100" s="11"/>
      <c r="G100" s="11"/>
      <c r="H100" s="11"/>
      <c r="I100" s="24"/>
      <c r="J100" s="24"/>
      <c r="K100" s="12"/>
      <c r="L100" s="12"/>
      <c r="M100" s="12"/>
      <c r="N100" s="12"/>
      <c r="O100" s="12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37">
        <f t="shared" si="148"/>
        <v>0</v>
      </c>
      <c r="AC100" s="29"/>
      <c r="AD100" s="38">
        <f t="shared" si="187"/>
        <v>0</v>
      </c>
      <c r="AE100" s="38">
        <f t="shared" si="188"/>
        <v>0</v>
      </c>
      <c r="AF100" s="38">
        <f t="shared" si="189"/>
        <v>0</v>
      </c>
      <c r="AG100" s="38">
        <f t="shared" si="190"/>
        <v>0</v>
      </c>
      <c r="AH100" s="38">
        <f t="shared" si="191"/>
        <v>0</v>
      </c>
      <c r="AI100" s="38">
        <f t="shared" si="192"/>
        <v>0</v>
      </c>
      <c r="AJ100" s="38">
        <f t="shared" si="193"/>
        <v>0</v>
      </c>
      <c r="AK100" s="38">
        <f t="shared" si="194"/>
        <v>0</v>
      </c>
      <c r="AL100" s="38">
        <f t="shared" si="195"/>
        <v>0</v>
      </c>
      <c r="AM100" s="38">
        <f t="shared" si="196"/>
        <v>0</v>
      </c>
      <c r="AN100" s="38">
        <f t="shared" si="197"/>
        <v>0</v>
      </c>
      <c r="AO100" s="38">
        <f t="shared" si="198"/>
        <v>0</v>
      </c>
      <c r="AP100" s="39">
        <f t="shared" si="199"/>
        <v>0</v>
      </c>
      <c r="AQ100" s="29"/>
      <c r="AR100" s="15" t="str">
        <f t="shared" si="200"/>
        <v/>
      </c>
      <c r="AS100" s="15" t="str">
        <f t="shared" si="201"/>
        <v/>
      </c>
      <c r="AT100" s="15" t="str">
        <f t="shared" si="202"/>
        <v/>
      </c>
      <c r="AU100" s="15" t="str">
        <f t="shared" si="203"/>
        <v/>
      </c>
      <c r="AV100" s="15" t="str">
        <f t="shared" si="204"/>
        <v/>
      </c>
      <c r="AW100" s="15" t="str">
        <f t="shared" si="205"/>
        <v/>
      </c>
      <c r="AX100" s="15" t="str">
        <f t="shared" si="206"/>
        <v/>
      </c>
      <c r="AY100" s="15" t="str">
        <f t="shared" si="207"/>
        <v/>
      </c>
      <c r="AZ100" s="15" t="str">
        <f t="shared" si="208"/>
        <v/>
      </c>
      <c r="BA100" s="15" t="str">
        <f t="shared" si="209"/>
        <v/>
      </c>
      <c r="BB100" s="15" t="str">
        <f t="shared" si="210"/>
        <v/>
      </c>
      <c r="BC100" s="15" t="str">
        <f t="shared" si="211"/>
        <v/>
      </c>
      <c r="BE100" s="14">
        <f t="shared" si="212"/>
        <v>0</v>
      </c>
      <c r="BF100" s="14">
        <f t="shared" si="213"/>
        <v>0</v>
      </c>
      <c r="BG100" s="14">
        <f t="shared" si="214"/>
        <v>0</v>
      </c>
      <c r="BH100" s="14">
        <f t="shared" si="215"/>
        <v>0</v>
      </c>
      <c r="BI100" s="14">
        <f t="shared" si="216"/>
        <v>0</v>
      </c>
      <c r="BJ100" s="14">
        <f t="shared" si="217"/>
        <v>0</v>
      </c>
      <c r="BK100" s="14">
        <f t="shared" si="218"/>
        <v>0</v>
      </c>
      <c r="BL100" s="14">
        <f t="shared" si="219"/>
        <v>0</v>
      </c>
      <c r="BM100" s="14">
        <f t="shared" si="220"/>
        <v>0</v>
      </c>
      <c r="BN100" s="14">
        <f t="shared" si="221"/>
        <v>0</v>
      </c>
      <c r="BO100" s="14">
        <f t="shared" si="222"/>
        <v>0</v>
      </c>
      <c r="BP100" s="14">
        <f t="shared" si="223"/>
        <v>0</v>
      </c>
      <c r="BQ100" s="37">
        <f t="shared" si="224"/>
        <v>0</v>
      </c>
    </row>
  </sheetData>
  <autoFilter ref="B3:AB100" xr:uid="{4F269C72-5D8C-41A5-84E3-407AE08C232E}">
    <filterColumn colId="6">
      <filters blank="1">
        <filter val="Namelikly"/>
      </filters>
    </filterColumn>
    <sortState xmlns:xlrd2="http://schemas.microsoft.com/office/spreadsheetml/2017/richdata2" ref="B4:AB100">
      <sortCondition ref="D3:D100"/>
    </sortState>
  </autoFilter>
  <phoneticPr fontId="2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66EBCB3BDC11F4F9D3C046ABC4FBF96" ma:contentTypeVersion="18" ma:contentTypeDescription="新しいドキュメントを作成します。" ma:contentTypeScope="" ma:versionID="473adf942ece8cda5e670b0b6286663b">
  <xsd:schema xmlns:xsd="http://www.w3.org/2001/XMLSchema" xmlns:xs="http://www.w3.org/2001/XMLSchema" xmlns:p="http://schemas.microsoft.com/office/2006/metadata/properties" xmlns:ns2="f51639d4-bbbc-401e-81cc-b7e2fd988884" xmlns:ns3="19c4d4eb-d9cf-4de3-aa8d-705e84a75283" targetNamespace="http://schemas.microsoft.com/office/2006/metadata/properties" ma:root="true" ma:fieldsID="39b77340c475d9758b91d556262d29e1" ns2:_="" ns3:_="">
    <xsd:import namespace="f51639d4-bbbc-401e-81cc-b7e2fd988884"/>
    <xsd:import namespace="19c4d4eb-d9cf-4de3-aa8d-705e84a752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1639d4-bbbc-401e-81cc-b7e2fd9888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2766e5e7-aa9a-4a83-91de-542f8e33ae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c4d4eb-d9cf-4de3-aa8d-705e84a7528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03772c8-5d78-42a1-92c8-6ead46996753}" ma:internalName="TaxCatchAll" ma:showField="CatchAllData" ma:web="19c4d4eb-d9cf-4de3-aa8d-705e84a752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51639d4-bbbc-401e-81cc-b7e2fd988884">
      <Terms xmlns="http://schemas.microsoft.com/office/infopath/2007/PartnerControls"/>
    </lcf76f155ced4ddcb4097134ff3c332f>
    <TaxCatchAll xmlns="19c4d4eb-d9cf-4de3-aa8d-705e84a75283" xsi:nil="true"/>
  </documentManagement>
</p:properties>
</file>

<file path=customXml/itemProps1.xml><?xml version="1.0" encoding="utf-8"?>
<ds:datastoreItem xmlns:ds="http://schemas.openxmlformats.org/officeDocument/2006/customXml" ds:itemID="{E5B363EA-8E5E-4D69-A4F0-5CD98C093787}"/>
</file>

<file path=customXml/itemProps2.xml><?xml version="1.0" encoding="utf-8"?>
<ds:datastoreItem xmlns:ds="http://schemas.openxmlformats.org/officeDocument/2006/customXml" ds:itemID="{95AFA770-C1C2-440E-80EA-5AD65BCC8815}"/>
</file>

<file path=customXml/itemProps3.xml><?xml version="1.0" encoding="utf-8"?>
<ds:datastoreItem xmlns:ds="http://schemas.openxmlformats.org/officeDocument/2006/customXml" ds:itemID="{05DA3859-CAB8-42AA-81E6-421648150F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Yasuda Osamu</dc:creator>
  <cp:keywords/>
  <dc:description/>
  <cp:lastModifiedBy/>
  <cp:revision/>
  <dcterms:created xsi:type="dcterms:W3CDTF">2025-12-02T07:15:16Z</dcterms:created>
  <dcterms:modified xsi:type="dcterms:W3CDTF">2026-03-30T14:53:08Z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0x010100D66EBCB3BDC11F4F9D3C046ABC4FBF96</vt:lpwstr>
  </property>
  <property fmtid="{D5CDD505-2E9C-101B-9397-08002B2CF9AE}" pid="3" name="MediaServiceImageTags">
    <vt:lpwstr/>
  </property>
</Properties>
</file>